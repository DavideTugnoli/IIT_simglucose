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naes\IIT_simglucose\results\"/>
    </mc:Choice>
  </mc:AlternateContent>
  <xr:revisionPtr revIDLastSave="0" documentId="13_ncr:1_{4F636B11-F0D8-4B48-BD67-446B80EA4BA4}" xr6:coauthVersionLast="47" xr6:coauthVersionMax="47" xr10:uidLastSave="{00000000-0000-0000-0000-000000000000}"/>
  <bookViews>
    <workbookView xWindow="-110" yWindow="-110" windowWidth="19420" windowHeight="10420" firstSheet="47" activeTab="47" xr2:uid="{00000000-000D-0000-FFFF-FFFF00000000}"/>
  </bookViews>
  <sheets>
    <sheet name="parallel_IIT_PH_30" sheetId="1" r:id="rId1"/>
    <sheet name="parallel_IIT_PH_45" sheetId="2" r:id="rId2"/>
    <sheet name="parallel_IIT_PH_60" sheetId="3" r:id="rId3"/>
    <sheet name="parallel_IIT_PH_120" sheetId="4" r:id="rId4"/>
    <sheet name="parallel_NOIIT_PH_30" sheetId="5" r:id="rId5"/>
    <sheet name="parallel_NOIIT_PH_45" sheetId="6" r:id="rId6"/>
    <sheet name="parallel_NOIIT_PH_60" sheetId="7" r:id="rId7"/>
    <sheet name="parallel_NOIIT_PH_120" sheetId="8" r:id="rId8"/>
    <sheet name="tree_IIT_PH_30" sheetId="9" r:id="rId9"/>
    <sheet name="tree_IIT_PH_45" sheetId="10" r:id="rId10"/>
    <sheet name="tree_IIT_PH_60" sheetId="11" r:id="rId11"/>
    <sheet name="tree_IIT_PH_120" sheetId="12" r:id="rId12"/>
    <sheet name="tree_NOIIT_PH_30" sheetId="13" r:id="rId13"/>
    <sheet name="tree_NOIIT_PH_45" sheetId="14" r:id="rId14"/>
    <sheet name="tree_NOIIT_PH_60" sheetId="15" r:id="rId15"/>
    <sheet name="tree_NOIIT_PH_120" sheetId="16" r:id="rId16"/>
    <sheet name="tree_128_IIT_PH_30" sheetId="17" r:id="rId17"/>
    <sheet name="tree_128_IIT_PH_45" sheetId="18" r:id="rId18"/>
    <sheet name="tree_128_IIT_PH_60" sheetId="19" r:id="rId19"/>
    <sheet name="tree_128_IIT_PH_120" sheetId="20" r:id="rId20"/>
    <sheet name="tree_128_NOIIT_PH_30" sheetId="21" r:id="rId21"/>
    <sheet name="tree_128_NOIIT_PH_45" sheetId="22" r:id="rId22"/>
    <sheet name="tree_128_NOIIT_PH_60" sheetId="23" r:id="rId23"/>
    <sheet name="tree_128_NOIIT_PH_120" sheetId="24" r:id="rId24"/>
    <sheet name="tree_256_IIT_PH_30" sheetId="25" r:id="rId25"/>
    <sheet name="tree_256_IIT_PH_45" sheetId="26" r:id="rId26"/>
    <sheet name="tree_256_IIT_PH_60" sheetId="27" r:id="rId27"/>
    <sheet name="tree_256_IIT_PH_120" sheetId="28" r:id="rId28"/>
    <sheet name="tree_256_NOIIT_PH_30" sheetId="29" r:id="rId29"/>
    <sheet name="tree_256_NOIIT_PH_45" sheetId="30" r:id="rId30"/>
    <sheet name="tree_256_NOIIT_PH_60" sheetId="31" r:id="rId31"/>
    <sheet name="tree_256_NOIIT_PH_120" sheetId="32" r:id="rId32"/>
    <sheet name="tree_256_no_cycles_IIT_PH_30" sheetId="33" r:id="rId33"/>
    <sheet name="tree_256_no_cycles_IIT_PH_45" sheetId="34" r:id="rId34"/>
    <sheet name="tree_256_no_cycles_IIT_PH_60" sheetId="35" r:id="rId35"/>
    <sheet name="tree_256_no_cycles_IIT_PH_120" sheetId="36" r:id="rId36"/>
    <sheet name="tree_256_no_cycles_NOIIT_PH_30" sheetId="37" r:id="rId37"/>
    <sheet name="tree_256_no_cycles_NOIIT_PH_45" sheetId="38" r:id="rId38"/>
    <sheet name="tree_256_no_cycles_NOIIT_PH_60" sheetId="39" r:id="rId39"/>
    <sheet name="tree_256_no_cycles_NOIIT_PH_120" sheetId="40" r:id="rId40"/>
    <sheet name="tree_joint_IIT_PH_30" sheetId="41" r:id="rId41"/>
    <sheet name="tree_joint_IIT_PH_45" sheetId="42" r:id="rId42"/>
    <sheet name="tree_joint_IIT_PH_60" sheetId="43" r:id="rId43"/>
    <sheet name="tree_joint_IIT_PH_120" sheetId="44" r:id="rId44"/>
    <sheet name="tree_joint_NOIIT_PH_30" sheetId="45" r:id="rId45"/>
    <sheet name="tree_joint_NOIIT_PH_45" sheetId="46" r:id="rId46"/>
    <sheet name="tree_joint_NOIIT_PH_60" sheetId="47" r:id="rId47"/>
    <sheet name="tree_joint_NOIIT_PH_120" sheetId="48" r:id="rId4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48" l="1"/>
  <c r="A13" i="48"/>
  <c r="A14" i="47"/>
  <c r="A13" i="47"/>
  <c r="A14" i="46"/>
  <c r="A13" i="46"/>
  <c r="A14" i="45"/>
  <c r="A13" i="45"/>
  <c r="A14" i="44"/>
  <c r="A13" i="44"/>
  <c r="A14" i="43"/>
  <c r="A13" i="43"/>
  <c r="A14" i="42"/>
  <c r="A13" i="42"/>
  <c r="A14" i="41"/>
  <c r="A13" i="41"/>
  <c r="A14" i="32"/>
  <c r="A13" i="32"/>
  <c r="A14" i="31"/>
  <c r="A13" i="31"/>
  <c r="A14" i="30"/>
  <c r="A13" i="30"/>
  <c r="A14" i="29"/>
  <c r="A13" i="29"/>
  <c r="A14" i="28"/>
  <c r="A13" i="28"/>
  <c r="A14" i="27"/>
  <c r="A13" i="27"/>
  <c r="A14" i="26"/>
  <c r="A13" i="26"/>
  <c r="A14" i="25"/>
  <c r="A13" i="25"/>
  <c r="A14" i="24"/>
  <c r="A13" i="24"/>
  <c r="A14" i="23"/>
  <c r="A13" i="23"/>
  <c r="A14" i="22"/>
  <c r="A13" i="22"/>
  <c r="A14" i="21"/>
  <c r="A13" i="21"/>
  <c r="A14" i="20"/>
  <c r="A13" i="20"/>
  <c r="A15" i="19"/>
  <c r="A14" i="19"/>
  <c r="A14" i="18"/>
  <c r="A13" i="18"/>
  <c r="A15" i="17"/>
  <c r="A14" i="17"/>
  <c r="A14" i="8"/>
  <c r="A13" i="8"/>
  <c r="A14" i="7"/>
  <c r="A13" i="7"/>
  <c r="A15" i="6"/>
  <c r="A14" i="6"/>
  <c r="A14" i="5"/>
  <c r="A13" i="5"/>
  <c r="A14" i="4"/>
  <c r="A13" i="4"/>
  <c r="A14" i="3"/>
  <c r="A13" i="3"/>
  <c r="A15" i="2"/>
  <c r="A14" i="2"/>
  <c r="A15" i="1"/>
  <c r="A14" i="1"/>
</calcChain>
</file>

<file path=xl/sharedStrings.xml><?xml version="1.0" encoding="utf-8"?>
<sst xmlns="http://schemas.openxmlformats.org/spreadsheetml/2006/main" count="48" uniqueCount="1">
  <si>
    <t>MAE (mg/dL)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</si>
</sst>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>
      <selection activeCell="A14" sqref="A14:A15"/>
    </sheetView>
  </sheetViews>
  <sheetFormatPr baseColWidth="10" defaultColWidth="8.7265625" defaultRowHeight="14.5" x14ac:dyDescent="0.35"/>
  <cols>
    <col min="1" max="1" width="11.1796875" bestFit="1" customWidth="1"/>
  </cols>
  <sheetData>
    <row r="1" spans="1:1" x14ac:dyDescent="0.35">
      <c r="A1" s="1" t="s">
        <v>0</v>
      </c>
    </row>
    <row r="2" spans="1:1" x14ac:dyDescent="0.35">
      <c r="A2">
        <v>10.242855499999999</v>
      </c>
    </row>
    <row r="3" spans="1:1" x14ac:dyDescent="0.35">
      <c r="A3">
        <v>8.4644750000000002</v>
      </c>
    </row>
    <row r="4" spans="1:1" x14ac:dyDescent="0.35">
      <c r="A4">
        <v>11.125524</v>
      </c>
    </row>
    <row r="5" spans="1:1" x14ac:dyDescent="0.35">
      <c r="A5">
        <v>9.3359389999999998</v>
      </c>
    </row>
    <row r="6" spans="1:1" x14ac:dyDescent="0.35">
      <c r="A6">
        <v>8.4748649999999994</v>
      </c>
    </row>
    <row r="7" spans="1:1" x14ac:dyDescent="0.35">
      <c r="A7">
        <v>8.8520050000000001</v>
      </c>
    </row>
    <row r="8" spans="1:1" x14ac:dyDescent="0.35">
      <c r="A8">
        <v>9.1751194999999992</v>
      </c>
    </row>
    <row r="9" spans="1:1" x14ac:dyDescent="0.35">
      <c r="A9">
        <v>9.0356539999999992</v>
      </c>
    </row>
    <row r="10" spans="1:1" x14ac:dyDescent="0.35">
      <c r="A10">
        <v>10.020218</v>
      </c>
    </row>
    <row r="11" spans="1:1" x14ac:dyDescent="0.35">
      <c r="A11">
        <v>9.5512910000000009</v>
      </c>
    </row>
    <row r="12" spans="1:1" x14ac:dyDescent="0.35">
      <c r="A12">
        <v>13.835436</v>
      </c>
    </row>
    <row r="14" spans="1:1" x14ac:dyDescent="0.35">
      <c r="A14">
        <f>AVERAGE(A2:A12)</f>
        <v>9.8284892727272712</v>
      </c>
    </row>
    <row r="15" spans="1:1" x14ac:dyDescent="0.35">
      <c r="A15">
        <f>_xlfn.STDEV.S(A2:A12)</f>
        <v>1.5481492195548769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>
      <selection activeCell="A14" sqref="A14:A15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18.786448</v>
      </c>
    </row>
    <row r="3" spans="1:1" x14ac:dyDescent="0.35">
      <c r="A3">
        <v>20.773952000000001</v>
      </c>
    </row>
    <row r="4" spans="1:1" x14ac:dyDescent="0.35">
      <c r="A4">
        <v>21.334727000000001</v>
      </c>
    </row>
    <row r="5" spans="1:1" x14ac:dyDescent="0.35">
      <c r="A5">
        <v>18.407983000000002</v>
      </c>
    </row>
    <row r="6" spans="1:1" x14ac:dyDescent="0.35">
      <c r="A6">
        <v>19.308188999999999</v>
      </c>
    </row>
    <row r="7" spans="1:1" x14ac:dyDescent="0.35">
      <c r="A7">
        <v>19.415711999999999</v>
      </c>
    </row>
    <row r="8" spans="1:1" x14ac:dyDescent="0.35">
      <c r="A8">
        <v>18.711758</v>
      </c>
    </row>
    <row r="9" spans="1:1" x14ac:dyDescent="0.35">
      <c r="A9">
        <v>19.182523</v>
      </c>
    </row>
    <row r="10" spans="1:1" x14ac:dyDescent="0.35">
      <c r="A10">
        <v>20.779043000000001</v>
      </c>
    </row>
    <row r="11" spans="1:1" x14ac:dyDescent="0.35">
      <c r="A11">
        <v>21.985102000000001</v>
      </c>
    </row>
    <row r="12" spans="1:1" x14ac:dyDescent="0.35">
      <c r="A12">
        <v>16.035715</v>
      </c>
    </row>
    <row r="14" spans="1:1" x14ac:dyDescent="0.35">
      <c r="A14">
        <f>AVERAGE(A2:A12)</f>
        <v>19.520104727272727</v>
      </c>
    </row>
    <row r="15" spans="1:1" x14ac:dyDescent="0.35">
      <c r="A15">
        <f>_xlfn.STDEV.S(A2:A12)</f>
        <v>1.6512224192220804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26.907015000000001</v>
      </c>
    </row>
    <row r="3" spans="1:1" x14ac:dyDescent="0.35">
      <c r="A3">
        <v>27.083987</v>
      </c>
    </row>
    <row r="4" spans="1:1" x14ac:dyDescent="0.35">
      <c r="A4">
        <v>28.761234999999999</v>
      </c>
    </row>
    <row r="5" spans="1:1" x14ac:dyDescent="0.35">
      <c r="A5">
        <v>26.833445000000001</v>
      </c>
    </row>
    <row r="6" spans="1:1" x14ac:dyDescent="0.35">
      <c r="A6">
        <v>27.981449999999999</v>
      </c>
    </row>
    <row r="7" spans="1:1" x14ac:dyDescent="0.35">
      <c r="A7">
        <v>27.079913000000001</v>
      </c>
    </row>
    <row r="8" spans="1:1" x14ac:dyDescent="0.35">
      <c r="A8">
        <v>25.67915</v>
      </c>
    </row>
    <row r="9" spans="1:1" x14ac:dyDescent="0.35">
      <c r="A9">
        <v>25.31645</v>
      </c>
    </row>
    <row r="10" spans="1:1" x14ac:dyDescent="0.35">
      <c r="A10">
        <v>28.156473999999999</v>
      </c>
    </row>
    <row r="11" spans="1:1" x14ac:dyDescent="0.35">
      <c r="A11">
        <v>29.841229999999999</v>
      </c>
    </row>
    <row r="13" spans="1:1" x14ac:dyDescent="0.35">
      <c r="A13">
        <f>AVERAGE(A1:A11)</f>
        <v>27.3640349</v>
      </c>
    </row>
    <row r="14" spans="1:1" x14ac:dyDescent="0.35">
      <c r="A14">
        <f>_xlfn.STDEV.S(A1:A11)</f>
        <v>1.3653982233973148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32.271096</v>
      </c>
    </row>
    <row r="3" spans="1:1" x14ac:dyDescent="0.35">
      <c r="A3">
        <v>31.943004999999999</v>
      </c>
    </row>
    <row r="4" spans="1:1" x14ac:dyDescent="0.35">
      <c r="A4">
        <v>28.260470000000002</v>
      </c>
    </row>
    <row r="5" spans="1:1" x14ac:dyDescent="0.35">
      <c r="A5">
        <v>31.950533</v>
      </c>
    </row>
    <row r="6" spans="1:1" x14ac:dyDescent="0.35">
      <c r="A6">
        <v>30.455786</v>
      </c>
    </row>
    <row r="7" spans="1:1" x14ac:dyDescent="0.35">
      <c r="A7">
        <v>32.450380000000003</v>
      </c>
    </row>
    <row r="8" spans="1:1" x14ac:dyDescent="0.35">
      <c r="A8">
        <v>30.038481999999998</v>
      </c>
    </row>
    <row r="9" spans="1:1" x14ac:dyDescent="0.35">
      <c r="A9">
        <v>30.642285999999999</v>
      </c>
    </row>
    <row r="10" spans="1:1" x14ac:dyDescent="0.35">
      <c r="A10">
        <v>33.41648</v>
      </c>
    </row>
    <row r="11" spans="1:1" x14ac:dyDescent="0.35">
      <c r="A11">
        <v>33.55986</v>
      </c>
    </row>
    <row r="13" spans="1:1" x14ac:dyDescent="0.35">
      <c r="A13">
        <f>AVERAGE(A1:A11)</f>
        <v>31.498837799999997</v>
      </c>
    </row>
    <row r="14" spans="1:1" x14ac:dyDescent="0.35">
      <c r="A14">
        <f>_xlfn.STDEV.S(A1:A11)</f>
        <v>1.6421393759854723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8.3627365999999999</v>
      </c>
    </row>
    <row r="3" spans="1:1" x14ac:dyDescent="0.35">
      <c r="A3">
        <v>10.6404096</v>
      </c>
    </row>
    <row r="4" spans="1:1" x14ac:dyDescent="0.35">
      <c r="A4">
        <v>10.570555000000001</v>
      </c>
    </row>
    <row r="5" spans="1:1" x14ac:dyDescent="0.35">
      <c r="A5">
        <v>9.3637674999999998</v>
      </c>
    </row>
    <row r="6" spans="1:1" x14ac:dyDescent="0.35">
      <c r="A6">
        <v>13.330036</v>
      </c>
    </row>
    <row r="7" spans="1:1" x14ac:dyDescent="0.35">
      <c r="A7">
        <v>11.475868999999999</v>
      </c>
    </row>
    <row r="8" spans="1:1" x14ac:dyDescent="0.35">
      <c r="A8">
        <v>9.1226629999999993</v>
      </c>
    </row>
    <row r="9" spans="1:1" x14ac:dyDescent="0.35">
      <c r="A9">
        <v>8.4754229999999993</v>
      </c>
    </row>
    <row r="10" spans="1:1" x14ac:dyDescent="0.35">
      <c r="A10">
        <v>9.5355720000000002</v>
      </c>
    </row>
    <row r="11" spans="1:1" x14ac:dyDescent="0.35">
      <c r="A11">
        <v>11.582831000000001</v>
      </c>
    </row>
    <row r="13" spans="1:1" x14ac:dyDescent="0.35">
      <c r="A13">
        <f>AVERAGE(A1:A11)</f>
        <v>10.24598627</v>
      </c>
    </row>
    <row r="14" spans="1:1" x14ac:dyDescent="0.35">
      <c r="A14">
        <f>_xlfn.STDEV.S(A1:A11)</f>
        <v>1.5740400918671889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5"/>
  <sheetViews>
    <sheetView workbookViewId="0">
      <selection activeCell="A14" sqref="A14:A15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19.955257</v>
      </c>
    </row>
    <row r="3" spans="1:1" x14ac:dyDescent="0.35">
      <c r="A3">
        <v>20.134439</v>
      </c>
    </row>
    <row r="4" spans="1:1" x14ac:dyDescent="0.35">
      <c r="A4">
        <v>22.512843</v>
      </c>
    </row>
    <row r="5" spans="1:1" x14ac:dyDescent="0.35">
      <c r="A5">
        <v>19.092932000000001</v>
      </c>
    </row>
    <row r="6" spans="1:1" x14ac:dyDescent="0.35">
      <c r="A6">
        <v>16.380331999999999</v>
      </c>
    </row>
    <row r="7" spans="1:1" x14ac:dyDescent="0.35">
      <c r="A7">
        <v>24.053560000000001</v>
      </c>
    </row>
    <row r="8" spans="1:1" x14ac:dyDescent="0.35">
      <c r="A8">
        <v>19.402695999999999</v>
      </c>
    </row>
    <row r="9" spans="1:1" x14ac:dyDescent="0.35">
      <c r="A9">
        <v>18.767923</v>
      </c>
    </row>
    <row r="10" spans="1:1" x14ac:dyDescent="0.35">
      <c r="A10">
        <v>18.571967999999998</v>
      </c>
    </row>
    <row r="11" spans="1:1" x14ac:dyDescent="0.35">
      <c r="A11">
        <v>22.626704</v>
      </c>
    </row>
    <row r="14" spans="1:1" x14ac:dyDescent="0.35">
      <c r="A14">
        <f>AVERAGE(A2:A12)</f>
        <v>20.149865399999999</v>
      </c>
    </row>
    <row r="15" spans="1:1" x14ac:dyDescent="0.35">
      <c r="A15">
        <f>_xlfn.STDEV.S(A2:A12)</f>
        <v>2.2920057179897819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30.594771999999999</v>
      </c>
    </row>
    <row r="3" spans="1:1" x14ac:dyDescent="0.35">
      <c r="A3">
        <v>27.303460000000001</v>
      </c>
    </row>
    <row r="4" spans="1:1" x14ac:dyDescent="0.35">
      <c r="A4">
        <v>29.89677</v>
      </c>
    </row>
    <row r="5" spans="1:1" x14ac:dyDescent="0.35">
      <c r="A5">
        <v>24.654211</v>
      </c>
    </row>
    <row r="6" spans="1:1" x14ac:dyDescent="0.35">
      <c r="A6">
        <v>26.724052</v>
      </c>
    </row>
    <row r="7" spans="1:1" x14ac:dyDescent="0.35">
      <c r="A7">
        <v>31.349653</v>
      </c>
    </row>
    <row r="8" spans="1:1" x14ac:dyDescent="0.35">
      <c r="A8">
        <v>27.260414000000001</v>
      </c>
    </row>
    <row r="9" spans="1:1" x14ac:dyDescent="0.35">
      <c r="A9">
        <v>24.440055000000001</v>
      </c>
    </row>
    <row r="10" spans="1:1" x14ac:dyDescent="0.35">
      <c r="A10">
        <v>28.060502</v>
      </c>
    </row>
    <row r="11" spans="1:1" x14ac:dyDescent="0.35">
      <c r="A11">
        <v>29.71536</v>
      </c>
    </row>
    <row r="13" spans="1:1" x14ac:dyDescent="0.35">
      <c r="A13">
        <f>AVERAGE(A1:A11)</f>
        <v>27.999924899999996</v>
      </c>
    </row>
    <row r="14" spans="1:1" x14ac:dyDescent="0.35">
      <c r="A14">
        <f>_xlfn.STDEV.S(A1:A11)</f>
        <v>2.3810498363290389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34.106349999999999</v>
      </c>
    </row>
    <row r="3" spans="1:1" x14ac:dyDescent="0.35">
      <c r="A3">
        <v>32.865810000000003</v>
      </c>
    </row>
    <row r="4" spans="1:1" x14ac:dyDescent="0.35">
      <c r="A4">
        <v>137.14240000000001</v>
      </c>
    </row>
    <row r="5" spans="1:1" x14ac:dyDescent="0.35">
      <c r="A5">
        <v>32.574216</v>
      </c>
    </row>
    <row r="6" spans="1:1" x14ac:dyDescent="0.35">
      <c r="A6">
        <v>32.479264999999998</v>
      </c>
    </row>
    <row r="7" spans="1:1" x14ac:dyDescent="0.35">
      <c r="A7">
        <v>36.523000000000003</v>
      </c>
    </row>
    <row r="8" spans="1:1" x14ac:dyDescent="0.35">
      <c r="A8">
        <v>31.148633</v>
      </c>
    </row>
    <row r="9" spans="1:1" x14ac:dyDescent="0.35">
      <c r="A9">
        <v>29.289180000000002</v>
      </c>
    </row>
    <row r="10" spans="1:1" x14ac:dyDescent="0.35">
      <c r="A10">
        <v>32.537280000000003</v>
      </c>
    </row>
    <row r="11" spans="1:1" x14ac:dyDescent="0.35">
      <c r="A11">
        <v>35.254820000000002</v>
      </c>
    </row>
    <row r="13" spans="1:1" x14ac:dyDescent="0.35">
      <c r="A13">
        <f>AVERAGE(A1:A11)</f>
        <v>43.392095400000002</v>
      </c>
    </row>
    <row r="14" spans="1:1" x14ac:dyDescent="0.35">
      <c r="A14">
        <f>_xlfn.STDEV.S(A1:A11)</f>
        <v>33.002163364843483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G16" sqref="G16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15"/>
  <sheetViews>
    <sheetView workbookViewId="0">
      <selection activeCell="A14" sqref="A14:A15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13.943453</v>
      </c>
    </row>
    <row r="3" spans="1:1" x14ac:dyDescent="0.35">
      <c r="A3">
        <v>13.574629</v>
      </c>
    </row>
    <row r="4" spans="1:1" x14ac:dyDescent="0.35">
      <c r="A4">
        <v>16.119342</v>
      </c>
    </row>
    <row r="5" spans="1:1" x14ac:dyDescent="0.35">
      <c r="A5">
        <v>16.170843000000001</v>
      </c>
    </row>
    <row r="6" spans="1:1" x14ac:dyDescent="0.35">
      <c r="A6">
        <v>18.429378</v>
      </c>
    </row>
    <row r="7" spans="1:1" x14ac:dyDescent="0.35">
      <c r="A7">
        <v>12.879631</v>
      </c>
    </row>
    <row r="8" spans="1:1" x14ac:dyDescent="0.35">
      <c r="A8">
        <v>19.885815999999998</v>
      </c>
    </row>
    <row r="9" spans="1:1" x14ac:dyDescent="0.35">
      <c r="A9">
        <v>10.395600999999999</v>
      </c>
    </row>
    <row r="10" spans="1:1" x14ac:dyDescent="0.35">
      <c r="A10">
        <v>12.810805</v>
      </c>
    </row>
    <row r="11" spans="1:1" x14ac:dyDescent="0.35">
      <c r="A11">
        <v>12.630395999999999</v>
      </c>
    </row>
    <row r="14" spans="1:1" x14ac:dyDescent="0.35">
      <c r="A14">
        <f>AVERAGE(A2:A12)</f>
        <v>14.683989399999998</v>
      </c>
    </row>
    <row r="15" spans="1:1" x14ac:dyDescent="0.35">
      <c r="A15">
        <f>_xlfn.STDEV.S(A2:A12)</f>
        <v>2.9156480329095165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25.208938</v>
      </c>
    </row>
    <row r="3" spans="1:1" x14ac:dyDescent="0.35">
      <c r="A3">
        <v>23.433015000000001</v>
      </c>
    </row>
    <row r="4" spans="1:1" x14ac:dyDescent="0.35">
      <c r="A4">
        <v>28.925415999999998</v>
      </c>
    </row>
    <row r="5" spans="1:1" x14ac:dyDescent="0.35">
      <c r="A5">
        <v>26.020637000000001</v>
      </c>
    </row>
    <row r="6" spans="1:1" x14ac:dyDescent="0.35">
      <c r="A6">
        <v>19.651389999999999</v>
      </c>
    </row>
    <row r="7" spans="1:1" x14ac:dyDescent="0.35">
      <c r="A7">
        <v>22.461496</v>
      </c>
    </row>
    <row r="8" spans="1:1" x14ac:dyDescent="0.35">
      <c r="A8">
        <v>22.720030000000001</v>
      </c>
    </row>
    <row r="9" spans="1:1" x14ac:dyDescent="0.35">
      <c r="A9">
        <v>20.588446000000001</v>
      </c>
    </row>
    <row r="10" spans="1:1" x14ac:dyDescent="0.35">
      <c r="A10">
        <v>22.355060000000002</v>
      </c>
    </row>
    <row r="11" spans="1:1" x14ac:dyDescent="0.35">
      <c r="A11">
        <v>17.322341999999999</v>
      </c>
    </row>
    <row r="13" spans="1:1" x14ac:dyDescent="0.35">
      <c r="A13">
        <f>AVERAGE(A1:A11)</f>
        <v>22.868677000000002</v>
      </c>
    </row>
    <row r="14" spans="1:1" x14ac:dyDescent="0.35">
      <c r="A14">
        <f>_xlfn.STDEV.S(A1:A11)</f>
        <v>3.319607637258418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5"/>
  <sheetViews>
    <sheetView workbookViewId="0">
      <selection activeCell="A14" sqref="A14:A15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26.48658</v>
      </c>
    </row>
    <row r="3" spans="1:1" x14ac:dyDescent="0.35">
      <c r="A3">
        <v>37.297460000000001</v>
      </c>
    </row>
    <row r="4" spans="1:1" x14ac:dyDescent="0.35">
      <c r="A4">
        <v>29.527553999999999</v>
      </c>
    </row>
    <row r="5" spans="1:1" x14ac:dyDescent="0.35">
      <c r="A5">
        <v>37.293523999999998</v>
      </c>
    </row>
    <row r="6" spans="1:1" x14ac:dyDescent="0.35">
      <c r="A6">
        <v>40.648088000000001</v>
      </c>
    </row>
    <row r="7" spans="1:1" x14ac:dyDescent="0.35">
      <c r="A7">
        <v>36.291455999999997</v>
      </c>
    </row>
    <row r="8" spans="1:1" x14ac:dyDescent="0.35">
      <c r="A8">
        <v>26.034102000000001</v>
      </c>
    </row>
    <row r="9" spans="1:1" x14ac:dyDescent="0.35">
      <c r="A9">
        <v>22.581219999999998</v>
      </c>
    </row>
    <row r="10" spans="1:1" x14ac:dyDescent="0.35">
      <c r="A10">
        <v>28.436124</v>
      </c>
    </row>
    <row r="11" spans="1:1" x14ac:dyDescent="0.35">
      <c r="A11">
        <v>27.131589999999999</v>
      </c>
    </row>
    <row r="14" spans="1:1" x14ac:dyDescent="0.35">
      <c r="A14">
        <f>AVERAGE(A2:A12)</f>
        <v>31.172769800000005</v>
      </c>
    </row>
    <row r="15" spans="1:1" x14ac:dyDescent="0.35">
      <c r="A15">
        <f>_xlfn.STDEV.S(A2:A12)</f>
        <v>6.1433448583137569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28.648263</v>
      </c>
    </row>
    <row r="3" spans="1:1" x14ac:dyDescent="0.35">
      <c r="A3">
        <v>30.98207</v>
      </c>
    </row>
    <row r="4" spans="1:1" x14ac:dyDescent="0.35">
      <c r="A4">
        <v>32.848188</v>
      </c>
    </row>
    <row r="5" spans="1:1" x14ac:dyDescent="0.35">
      <c r="A5">
        <v>30.315694000000001</v>
      </c>
    </row>
    <row r="6" spans="1:1" x14ac:dyDescent="0.35">
      <c r="A6">
        <v>34.954030000000003</v>
      </c>
    </row>
    <row r="7" spans="1:1" x14ac:dyDescent="0.35">
      <c r="A7">
        <v>36.256962999999999</v>
      </c>
    </row>
    <row r="8" spans="1:1" x14ac:dyDescent="0.35">
      <c r="A8">
        <v>38.244072000000003</v>
      </c>
    </row>
    <row r="9" spans="1:1" x14ac:dyDescent="0.35">
      <c r="A9">
        <v>30.696373999999999</v>
      </c>
    </row>
    <row r="10" spans="1:1" x14ac:dyDescent="0.35">
      <c r="A10">
        <v>32.213999999999999</v>
      </c>
    </row>
    <row r="11" spans="1:1" x14ac:dyDescent="0.35">
      <c r="A11">
        <v>32.174190000000003</v>
      </c>
    </row>
    <row r="13" spans="1:1" x14ac:dyDescent="0.35">
      <c r="A13">
        <f>AVERAGE(A1:A11)</f>
        <v>32.733384399999998</v>
      </c>
    </row>
    <row r="14" spans="1:1" x14ac:dyDescent="0.35">
      <c r="A14">
        <f>_xlfn.STDEV.S(A1:A11)</f>
        <v>2.9450551112527674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17.607899</v>
      </c>
    </row>
    <row r="3" spans="1:1" x14ac:dyDescent="0.35">
      <c r="A3">
        <v>12.524883000000001</v>
      </c>
    </row>
    <row r="4" spans="1:1" x14ac:dyDescent="0.35">
      <c r="A4">
        <v>19.892838999999999</v>
      </c>
    </row>
    <row r="5" spans="1:1" x14ac:dyDescent="0.35">
      <c r="A5">
        <v>19.500378000000001</v>
      </c>
    </row>
    <row r="6" spans="1:1" x14ac:dyDescent="0.35">
      <c r="A6">
        <v>15.064344</v>
      </c>
    </row>
    <row r="7" spans="1:1" x14ac:dyDescent="0.35">
      <c r="A7">
        <v>13.022064</v>
      </c>
    </row>
    <row r="8" spans="1:1" x14ac:dyDescent="0.35">
      <c r="A8">
        <v>20.223804000000001</v>
      </c>
    </row>
    <row r="9" spans="1:1" x14ac:dyDescent="0.35">
      <c r="A9">
        <v>12.664415</v>
      </c>
    </row>
    <row r="10" spans="1:1" x14ac:dyDescent="0.35">
      <c r="A10">
        <v>18.317318</v>
      </c>
    </row>
    <row r="11" spans="1:1" x14ac:dyDescent="0.35">
      <c r="A11">
        <v>8.6270209999999992</v>
      </c>
    </row>
    <row r="13" spans="1:1" x14ac:dyDescent="0.35">
      <c r="A13">
        <f>AVERAGE(A1:A11)</f>
        <v>15.744496500000002</v>
      </c>
    </row>
    <row r="14" spans="1:1" x14ac:dyDescent="0.35">
      <c r="A14">
        <f>_xlfn.STDEV.S(A1:A11)</f>
        <v>3.9420353335161864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23.173496</v>
      </c>
    </row>
    <row r="3" spans="1:1" x14ac:dyDescent="0.35">
      <c r="A3">
        <v>20.954844000000001</v>
      </c>
    </row>
    <row r="4" spans="1:1" x14ac:dyDescent="0.35">
      <c r="A4">
        <v>32.593836999999994</v>
      </c>
    </row>
    <row r="5" spans="1:1" x14ac:dyDescent="0.35">
      <c r="A5">
        <v>36.121932000000001</v>
      </c>
    </row>
    <row r="6" spans="1:1" x14ac:dyDescent="0.35">
      <c r="A6">
        <v>21.026585000000001</v>
      </c>
    </row>
    <row r="7" spans="1:1" x14ac:dyDescent="0.35">
      <c r="A7">
        <v>23.309961000000001</v>
      </c>
    </row>
    <row r="8" spans="1:1" x14ac:dyDescent="0.35">
      <c r="A8">
        <v>22.198105000000002</v>
      </c>
    </row>
    <row r="9" spans="1:1" x14ac:dyDescent="0.35">
      <c r="A9">
        <v>25.137070000000001</v>
      </c>
    </row>
    <row r="10" spans="1:1" x14ac:dyDescent="0.35">
      <c r="A10">
        <v>28.199235000000002</v>
      </c>
    </row>
    <row r="11" spans="1:1" x14ac:dyDescent="0.35">
      <c r="A11">
        <v>22.997138</v>
      </c>
    </row>
    <row r="13" spans="1:1" x14ac:dyDescent="0.35">
      <c r="A13">
        <f>AVERAGE(A1:A11)</f>
        <v>25.5712203</v>
      </c>
    </row>
    <row r="14" spans="1:1" x14ac:dyDescent="0.35">
      <c r="A14">
        <f>_xlfn.STDEV.S(A1:A11)</f>
        <v>5.1484672211592857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26.642567</v>
      </c>
    </row>
    <row r="3" spans="1:1" x14ac:dyDescent="0.35">
      <c r="A3">
        <v>35.031565999999998</v>
      </c>
    </row>
    <row r="4" spans="1:1" x14ac:dyDescent="0.35">
      <c r="A4">
        <v>30.521723999999999</v>
      </c>
    </row>
    <row r="5" spans="1:1" x14ac:dyDescent="0.35">
      <c r="A5">
        <v>37.802795000000003</v>
      </c>
    </row>
    <row r="6" spans="1:1" x14ac:dyDescent="0.35">
      <c r="A6">
        <v>40.360667999999997</v>
      </c>
    </row>
    <row r="7" spans="1:1" x14ac:dyDescent="0.35">
      <c r="A7">
        <v>32.25759</v>
      </c>
    </row>
    <row r="8" spans="1:1" x14ac:dyDescent="0.35">
      <c r="A8">
        <v>46.281007000000002</v>
      </c>
    </row>
    <row r="9" spans="1:1" x14ac:dyDescent="0.35">
      <c r="A9">
        <v>27.796748000000001</v>
      </c>
    </row>
    <row r="10" spans="1:1" x14ac:dyDescent="0.35">
      <c r="A10">
        <v>27.696368</v>
      </c>
    </row>
    <row r="11" spans="1:1" x14ac:dyDescent="0.35">
      <c r="A11">
        <v>26.632239999999999</v>
      </c>
    </row>
    <row r="13" spans="1:1" x14ac:dyDescent="0.35">
      <c r="A13">
        <f>AVERAGE(A1:A11)</f>
        <v>33.102327299999999</v>
      </c>
    </row>
    <row r="14" spans="1:1" x14ac:dyDescent="0.35">
      <c r="A14">
        <f>_xlfn.STDEV.S(A1:A11)</f>
        <v>6.6709541369506864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27.645330000000001</v>
      </c>
    </row>
    <row r="3" spans="1:1" x14ac:dyDescent="0.35">
      <c r="A3">
        <v>35.509599999999999</v>
      </c>
    </row>
    <row r="4" spans="1:1" x14ac:dyDescent="0.35">
      <c r="A4">
        <v>39.590960000000003</v>
      </c>
    </row>
    <row r="5" spans="1:1" x14ac:dyDescent="0.35">
      <c r="A5">
        <v>34.190607</v>
      </c>
    </row>
    <row r="6" spans="1:1" x14ac:dyDescent="0.35">
      <c r="A6">
        <v>42.77993</v>
      </c>
    </row>
    <row r="7" spans="1:1" x14ac:dyDescent="0.35">
      <c r="A7">
        <v>39.248466000000001</v>
      </c>
    </row>
    <row r="8" spans="1:1" x14ac:dyDescent="0.35">
      <c r="A8">
        <v>32.356085999999998</v>
      </c>
    </row>
    <row r="9" spans="1:1" x14ac:dyDescent="0.35">
      <c r="A9">
        <v>35.021000000000001</v>
      </c>
    </row>
    <row r="10" spans="1:1" x14ac:dyDescent="0.35">
      <c r="A10">
        <v>36.856772999999997</v>
      </c>
    </row>
    <row r="11" spans="1:1" x14ac:dyDescent="0.35">
      <c r="A11">
        <v>30.946770000000001</v>
      </c>
    </row>
    <row r="13" spans="1:1" x14ac:dyDescent="0.35">
      <c r="A13">
        <f>AVERAGE(A1:A11)</f>
        <v>35.414552200000003</v>
      </c>
    </row>
    <row r="14" spans="1:1" x14ac:dyDescent="0.35">
      <c r="A14">
        <f>_xlfn.STDEV.S(A1:A11)</f>
        <v>4.4697518481651102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18.665755999999998</v>
      </c>
    </row>
    <row r="3" spans="1:1" x14ac:dyDescent="0.35">
      <c r="A3">
        <v>15.943159</v>
      </c>
    </row>
    <row r="4" spans="1:1" x14ac:dyDescent="0.35">
      <c r="A4">
        <v>15.416312</v>
      </c>
    </row>
    <row r="5" spans="1:1" x14ac:dyDescent="0.35">
      <c r="A5">
        <v>8.1994100000000003</v>
      </c>
    </row>
    <row r="6" spans="1:1" x14ac:dyDescent="0.35">
      <c r="A6">
        <v>8.3234899999999996</v>
      </c>
    </row>
    <row r="7" spans="1:1" x14ac:dyDescent="0.35">
      <c r="A7">
        <v>8.4656889999999994</v>
      </c>
    </row>
    <row r="8" spans="1:1" x14ac:dyDescent="0.35">
      <c r="A8">
        <v>8.3548830000000009</v>
      </c>
    </row>
    <row r="9" spans="1:1" x14ac:dyDescent="0.35">
      <c r="A9">
        <v>8.6807239999999997</v>
      </c>
    </row>
    <row r="10" spans="1:1" x14ac:dyDescent="0.35">
      <c r="A10">
        <v>8.329116599999999</v>
      </c>
    </row>
    <row r="11" spans="1:1" x14ac:dyDescent="0.35">
      <c r="A11">
        <v>14.596743999999999</v>
      </c>
    </row>
    <row r="13" spans="1:1" x14ac:dyDescent="0.35">
      <c r="A13">
        <f>AVERAGE(A1:A11)</f>
        <v>11.497528359999999</v>
      </c>
    </row>
    <row r="14" spans="1:1" x14ac:dyDescent="0.35">
      <c r="A14">
        <f>_xlfn.STDEV.S(A1:A11)</f>
        <v>4.1379371667110236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43.752786999999998</v>
      </c>
    </row>
    <row r="3" spans="1:1" x14ac:dyDescent="0.35">
      <c r="A3">
        <v>25.573920000000001</v>
      </c>
    </row>
    <row r="4" spans="1:1" x14ac:dyDescent="0.35">
      <c r="A4">
        <v>24.994043000000001</v>
      </c>
    </row>
    <row r="5" spans="1:1" x14ac:dyDescent="0.35">
      <c r="A5">
        <v>21.520886000000001</v>
      </c>
    </row>
    <row r="6" spans="1:1" x14ac:dyDescent="0.35">
      <c r="A6">
        <v>18.839676999999998</v>
      </c>
    </row>
    <row r="7" spans="1:1" x14ac:dyDescent="0.35">
      <c r="A7">
        <v>19.524274999999999</v>
      </c>
    </row>
    <row r="8" spans="1:1" x14ac:dyDescent="0.35">
      <c r="A8">
        <v>23.412696</v>
      </c>
    </row>
    <row r="9" spans="1:1" x14ac:dyDescent="0.35">
      <c r="A9">
        <v>19.036137</v>
      </c>
    </row>
    <row r="10" spans="1:1" x14ac:dyDescent="0.35">
      <c r="A10">
        <v>16.393129999999999</v>
      </c>
    </row>
    <row r="11" spans="1:1" x14ac:dyDescent="0.35">
      <c r="A11">
        <v>19.191224999999999</v>
      </c>
    </row>
    <row r="13" spans="1:1" x14ac:dyDescent="0.35">
      <c r="A13">
        <f>AVERAGE(A1:A11)</f>
        <v>23.223877600000002</v>
      </c>
    </row>
    <row r="14" spans="1:1" x14ac:dyDescent="0.35">
      <c r="A14">
        <f>_xlfn.STDEV.S(A1:A11)</f>
        <v>7.7916977479270306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24.940180999999999</v>
      </c>
    </row>
    <row r="3" spans="1:1" x14ac:dyDescent="0.35">
      <c r="A3">
        <v>26.952805999999999</v>
      </c>
    </row>
    <row r="4" spans="1:1" x14ac:dyDescent="0.35">
      <c r="A4">
        <v>37.381467000000001</v>
      </c>
    </row>
    <row r="5" spans="1:1" x14ac:dyDescent="0.35">
      <c r="A5">
        <v>25.888565</v>
      </c>
    </row>
    <row r="6" spans="1:1" x14ac:dyDescent="0.35">
      <c r="A6">
        <v>28.015834000000002</v>
      </c>
    </row>
    <row r="7" spans="1:1" x14ac:dyDescent="0.35">
      <c r="A7">
        <v>25.824064</v>
      </c>
    </row>
    <row r="8" spans="1:1" x14ac:dyDescent="0.35">
      <c r="A8">
        <v>23.384087999999998</v>
      </c>
    </row>
    <row r="9" spans="1:1" x14ac:dyDescent="0.35">
      <c r="A9">
        <v>25.236550000000001</v>
      </c>
    </row>
    <row r="10" spans="1:1" x14ac:dyDescent="0.35">
      <c r="A10">
        <v>26.794535</v>
      </c>
    </row>
    <row r="11" spans="1:1" x14ac:dyDescent="0.35">
      <c r="A11">
        <v>31.500520000000002</v>
      </c>
    </row>
    <row r="13" spans="1:1" x14ac:dyDescent="0.35">
      <c r="A13">
        <f>AVERAGE(A1:A11)</f>
        <v>27.591861000000002</v>
      </c>
    </row>
    <row r="14" spans="1:1" x14ac:dyDescent="0.35">
      <c r="A14">
        <f>_xlfn.STDEV.S(A1:A11)</f>
        <v>4.0640489909424282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44.021410000000003</v>
      </c>
    </row>
    <row r="3" spans="1:1" x14ac:dyDescent="0.35">
      <c r="A3">
        <v>30.217403000000001</v>
      </c>
    </row>
    <row r="4" spans="1:1" x14ac:dyDescent="0.35">
      <c r="A4">
        <v>48.277991999999998</v>
      </c>
    </row>
    <row r="5" spans="1:1" x14ac:dyDescent="0.35">
      <c r="A5">
        <v>29.793801999999999</v>
      </c>
    </row>
    <row r="6" spans="1:1" x14ac:dyDescent="0.35">
      <c r="A6">
        <v>32.650350000000003</v>
      </c>
    </row>
    <row r="7" spans="1:1" x14ac:dyDescent="0.35">
      <c r="A7">
        <v>30.937225000000002</v>
      </c>
    </row>
    <row r="8" spans="1:1" x14ac:dyDescent="0.35">
      <c r="A8">
        <v>31.852530000000002</v>
      </c>
    </row>
    <row r="9" spans="1:1" x14ac:dyDescent="0.35">
      <c r="A9">
        <v>31.873449999999998</v>
      </c>
    </row>
    <row r="10" spans="1:1" x14ac:dyDescent="0.35">
      <c r="A10">
        <v>29.935594999999999</v>
      </c>
    </row>
    <row r="11" spans="1:1" x14ac:dyDescent="0.35">
      <c r="A11">
        <v>32.040649999999999</v>
      </c>
    </row>
    <row r="13" spans="1:1" x14ac:dyDescent="0.35">
      <c r="A13">
        <f>AVERAGE(A1:A11)</f>
        <v>34.160040700000003</v>
      </c>
    </row>
    <row r="14" spans="1:1" x14ac:dyDescent="0.35">
      <c r="A14">
        <f>_xlfn.STDEV.S(A1:A11)</f>
        <v>6.4698287279087445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11.019259</v>
      </c>
    </row>
    <row r="3" spans="1:1" x14ac:dyDescent="0.35">
      <c r="A3">
        <v>12.448314999999999</v>
      </c>
    </row>
    <row r="4" spans="1:1" x14ac:dyDescent="0.35">
      <c r="A4">
        <v>21.338359000000001</v>
      </c>
    </row>
    <row r="5" spans="1:1" x14ac:dyDescent="0.35">
      <c r="A5">
        <v>13.017213</v>
      </c>
    </row>
    <row r="6" spans="1:1" x14ac:dyDescent="0.35">
      <c r="A6">
        <v>11.780894999999999</v>
      </c>
    </row>
    <row r="7" spans="1:1" x14ac:dyDescent="0.35">
      <c r="A7">
        <v>12.280689000000001</v>
      </c>
    </row>
    <row r="8" spans="1:1" x14ac:dyDescent="0.35">
      <c r="A8">
        <v>11.252333999999999</v>
      </c>
    </row>
    <row r="9" spans="1:1" x14ac:dyDescent="0.35">
      <c r="A9">
        <v>11.248270399999999</v>
      </c>
    </row>
    <row r="10" spans="1:1" x14ac:dyDescent="0.35">
      <c r="A10">
        <v>12.181853</v>
      </c>
    </row>
    <row r="11" spans="1:1" x14ac:dyDescent="0.35">
      <c r="A11">
        <v>12.776443</v>
      </c>
    </row>
    <row r="13" spans="1:1" x14ac:dyDescent="0.35">
      <c r="A13">
        <f>AVERAGE(A1:A11)</f>
        <v>12.934363039999999</v>
      </c>
    </row>
    <row r="14" spans="1:1" x14ac:dyDescent="0.35">
      <c r="A14">
        <f>_xlfn.STDEV.S(A1:A11)</f>
        <v>3.0287327170883378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19.145983000000001</v>
      </c>
    </row>
    <row r="3" spans="1:1" x14ac:dyDescent="0.35">
      <c r="A3">
        <v>14.735317</v>
      </c>
    </row>
    <row r="4" spans="1:1" x14ac:dyDescent="0.35">
      <c r="A4">
        <v>20.262136999999999</v>
      </c>
    </row>
    <row r="5" spans="1:1" x14ac:dyDescent="0.35">
      <c r="A5">
        <v>15.842523</v>
      </c>
    </row>
    <row r="6" spans="1:1" x14ac:dyDescent="0.35">
      <c r="A6">
        <v>18.452058999999998</v>
      </c>
    </row>
    <row r="7" spans="1:1" x14ac:dyDescent="0.35">
      <c r="A7">
        <v>17.682841</v>
      </c>
    </row>
    <row r="8" spans="1:1" x14ac:dyDescent="0.35">
      <c r="A8">
        <v>21.929044999999999</v>
      </c>
    </row>
    <row r="9" spans="1:1" x14ac:dyDescent="0.35">
      <c r="A9">
        <v>21.929044999999999</v>
      </c>
    </row>
    <row r="10" spans="1:1" x14ac:dyDescent="0.35">
      <c r="A10">
        <v>20.037479999999999</v>
      </c>
    </row>
    <row r="11" spans="1:1" x14ac:dyDescent="0.35">
      <c r="A11">
        <v>16.366619</v>
      </c>
    </row>
    <row r="13" spans="1:1" x14ac:dyDescent="0.35">
      <c r="A13">
        <f>AVERAGE(A1:A11)</f>
        <v>18.638304899999998</v>
      </c>
    </row>
    <row r="14" spans="1:1" x14ac:dyDescent="0.35">
      <c r="A14">
        <f>_xlfn.STDEV.S(A1:A11)</f>
        <v>2.4870345152814082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25.327269999999999</v>
      </c>
    </row>
    <row r="3" spans="1:1" x14ac:dyDescent="0.35">
      <c r="A3">
        <v>21.615334000000001</v>
      </c>
    </row>
    <row r="4" spans="1:1" x14ac:dyDescent="0.35">
      <c r="A4">
        <v>37.836227000000001</v>
      </c>
    </row>
    <row r="5" spans="1:1" x14ac:dyDescent="0.35">
      <c r="A5">
        <v>19.628702000000001</v>
      </c>
    </row>
    <row r="6" spans="1:1" x14ac:dyDescent="0.35">
      <c r="A6">
        <v>23.567906000000001</v>
      </c>
    </row>
    <row r="7" spans="1:1" x14ac:dyDescent="0.35">
      <c r="A7">
        <v>19.921333000000001</v>
      </c>
    </row>
    <row r="8" spans="1:1" x14ac:dyDescent="0.35">
      <c r="A8">
        <v>21.863346</v>
      </c>
    </row>
    <row r="9" spans="1:1" x14ac:dyDescent="0.35">
      <c r="A9">
        <v>19.572796</v>
      </c>
    </row>
    <row r="10" spans="1:1" x14ac:dyDescent="0.35">
      <c r="A10">
        <v>21.961445000000001</v>
      </c>
    </row>
    <row r="11" spans="1:1" x14ac:dyDescent="0.35">
      <c r="A11">
        <v>20.73094</v>
      </c>
    </row>
    <row r="13" spans="1:1" x14ac:dyDescent="0.35">
      <c r="A13">
        <f>AVERAGE(A1:A11)</f>
        <v>23.202529900000002</v>
      </c>
    </row>
    <row r="14" spans="1:1" x14ac:dyDescent="0.35">
      <c r="A14">
        <f>_xlfn.STDEV.S(A1:A11)</f>
        <v>5.4514853312094917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20.732562000000001</v>
      </c>
    </row>
    <row r="3" spans="1:1" x14ac:dyDescent="0.35">
      <c r="A3">
        <v>17.718260999999998</v>
      </c>
    </row>
    <row r="4" spans="1:1" x14ac:dyDescent="0.35">
      <c r="A4">
        <v>29.242632</v>
      </c>
    </row>
    <row r="5" spans="1:1" x14ac:dyDescent="0.35">
      <c r="A5">
        <v>21.657233000000002</v>
      </c>
    </row>
    <row r="6" spans="1:1" x14ac:dyDescent="0.35">
      <c r="A6">
        <v>18.572213000000001</v>
      </c>
    </row>
    <row r="7" spans="1:1" x14ac:dyDescent="0.35">
      <c r="A7">
        <v>19.221874</v>
      </c>
    </row>
    <row r="8" spans="1:1" x14ac:dyDescent="0.35">
      <c r="A8">
        <v>16.430150000000001</v>
      </c>
    </row>
    <row r="9" spans="1:1" x14ac:dyDescent="0.35">
      <c r="A9">
        <v>18.559341</v>
      </c>
    </row>
    <row r="10" spans="1:1" x14ac:dyDescent="0.35">
      <c r="A10">
        <v>17.550651999999999</v>
      </c>
    </row>
    <row r="11" spans="1:1" x14ac:dyDescent="0.35">
      <c r="A11">
        <v>19.208203000000001</v>
      </c>
    </row>
    <row r="13" spans="1:1" x14ac:dyDescent="0.35">
      <c r="A13">
        <f>AVERAGE(A1:A11)</f>
        <v>19.889312099999998</v>
      </c>
    </row>
    <row r="14" spans="1:1" x14ac:dyDescent="0.35">
      <c r="A14">
        <f>_xlfn.STDEV.S(A1:A11)</f>
        <v>3.6191275900868849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1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9.7676194999999986</v>
      </c>
    </row>
    <row r="3" spans="1:1" x14ac:dyDescent="0.35">
      <c r="A3">
        <v>11.6662696</v>
      </c>
    </row>
    <row r="4" spans="1:1" x14ac:dyDescent="0.35">
      <c r="A4">
        <v>15.572819000000001</v>
      </c>
    </row>
    <row r="5" spans="1:1" x14ac:dyDescent="0.35">
      <c r="A5">
        <v>14.540127999999999</v>
      </c>
    </row>
    <row r="6" spans="1:1" x14ac:dyDescent="0.35">
      <c r="A6">
        <v>11.978789000000001</v>
      </c>
    </row>
    <row r="7" spans="1:1" x14ac:dyDescent="0.35">
      <c r="A7">
        <v>10.7547164</v>
      </c>
    </row>
    <row r="8" spans="1:1" x14ac:dyDescent="0.35">
      <c r="A8">
        <v>12.083936</v>
      </c>
    </row>
    <row r="9" spans="1:1" x14ac:dyDescent="0.35">
      <c r="A9">
        <v>12.043551000000001</v>
      </c>
    </row>
    <row r="10" spans="1:1" x14ac:dyDescent="0.35">
      <c r="A10">
        <v>11.196612</v>
      </c>
    </row>
    <row r="11" spans="1:1" x14ac:dyDescent="0.35">
      <c r="A11">
        <v>10.654188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12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20.46688</v>
      </c>
    </row>
    <row r="3" spans="1:1" x14ac:dyDescent="0.35">
      <c r="A3">
        <v>14.374487</v>
      </c>
    </row>
    <row r="4" spans="1:1" x14ac:dyDescent="0.35">
      <c r="A4">
        <v>21.019933000000002</v>
      </c>
    </row>
    <row r="5" spans="1:1" x14ac:dyDescent="0.35">
      <c r="A5">
        <v>15.251635</v>
      </c>
    </row>
    <row r="6" spans="1:1" x14ac:dyDescent="0.35">
      <c r="A6">
        <v>15.862045999999999</v>
      </c>
    </row>
    <row r="7" spans="1:1" x14ac:dyDescent="0.35">
      <c r="A7">
        <v>15.882759</v>
      </c>
    </row>
    <row r="8" spans="1:1" x14ac:dyDescent="0.35">
      <c r="A8">
        <v>14.801188</v>
      </c>
    </row>
    <row r="9" spans="1:1" x14ac:dyDescent="0.35">
      <c r="A9">
        <v>16.211670000000002</v>
      </c>
    </row>
    <row r="10" spans="1:1" x14ac:dyDescent="0.35">
      <c r="A10">
        <v>15.692921</v>
      </c>
    </row>
    <row r="11" spans="1:1" x14ac:dyDescent="0.35">
      <c r="A11">
        <v>16.566420999999998</v>
      </c>
    </row>
    <row r="12" spans="1:1" x14ac:dyDescent="0.35">
      <c r="A12">
        <v>20.013777999999999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1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24.257356999999999</v>
      </c>
    </row>
    <row r="3" spans="1:1" x14ac:dyDescent="0.35">
      <c r="A3">
        <v>22.470445999999999</v>
      </c>
    </row>
    <row r="4" spans="1:1" x14ac:dyDescent="0.35">
      <c r="A4">
        <v>29.088339999999999</v>
      </c>
    </row>
    <row r="5" spans="1:1" x14ac:dyDescent="0.35">
      <c r="A5">
        <v>18.235195999999998</v>
      </c>
    </row>
    <row r="6" spans="1:1" x14ac:dyDescent="0.35">
      <c r="A6">
        <v>21.776748000000001</v>
      </c>
    </row>
    <row r="7" spans="1:1" x14ac:dyDescent="0.35">
      <c r="A7">
        <v>22.268826000000001</v>
      </c>
    </row>
    <row r="8" spans="1:1" x14ac:dyDescent="0.35">
      <c r="A8">
        <v>20.734085</v>
      </c>
    </row>
    <row r="9" spans="1:1" x14ac:dyDescent="0.35">
      <c r="A9">
        <v>19.252151000000001</v>
      </c>
    </row>
    <row r="10" spans="1:1" x14ac:dyDescent="0.35">
      <c r="A10">
        <v>21.472726999999999</v>
      </c>
    </row>
    <row r="11" spans="1:1" x14ac:dyDescent="0.35">
      <c r="A11">
        <v>20.600242999999999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1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22.716339999999999</v>
      </c>
    </row>
    <row r="3" spans="1:1" x14ac:dyDescent="0.35">
      <c r="A3">
        <v>16.068802999999999</v>
      </c>
    </row>
    <row r="4" spans="1:1" x14ac:dyDescent="0.35">
      <c r="A4">
        <v>19.997575999999999</v>
      </c>
    </row>
    <row r="5" spans="1:1" x14ac:dyDescent="0.35">
      <c r="A5">
        <v>18.823114</v>
      </c>
    </row>
    <row r="6" spans="1:1" x14ac:dyDescent="0.35">
      <c r="A6">
        <v>19.039684999999999</v>
      </c>
    </row>
    <row r="7" spans="1:1" x14ac:dyDescent="0.35">
      <c r="A7">
        <v>18.657375999999999</v>
      </c>
    </row>
    <row r="8" spans="1:1" x14ac:dyDescent="0.35">
      <c r="A8">
        <v>18.466124000000001</v>
      </c>
    </row>
    <row r="9" spans="1:1" x14ac:dyDescent="0.35">
      <c r="A9">
        <v>18.866277</v>
      </c>
    </row>
    <row r="10" spans="1:1" x14ac:dyDescent="0.35">
      <c r="A10">
        <v>19.448273</v>
      </c>
    </row>
    <row r="11" spans="1:1" x14ac:dyDescent="0.35">
      <c r="A11">
        <v>18.232968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13.306029000000001</v>
      </c>
    </row>
    <row r="3" spans="1:1" x14ac:dyDescent="0.35">
      <c r="A3">
        <v>11.071065000000001</v>
      </c>
    </row>
    <row r="4" spans="1:1" x14ac:dyDescent="0.35">
      <c r="A4">
        <v>9.1417103999999991</v>
      </c>
    </row>
    <row r="5" spans="1:1" x14ac:dyDescent="0.35">
      <c r="A5">
        <v>20.536396</v>
      </c>
    </row>
    <row r="6" spans="1:1" x14ac:dyDescent="0.35">
      <c r="A6">
        <v>14.703956</v>
      </c>
    </row>
    <row r="7" spans="1:1" x14ac:dyDescent="0.35">
      <c r="A7">
        <v>8.8329160000000009</v>
      </c>
    </row>
    <row r="8" spans="1:1" x14ac:dyDescent="0.35">
      <c r="A8">
        <v>16.232222</v>
      </c>
    </row>
    <row r="9" spans="1:1" x14ac:dyDescent="0.35">
      <c r="A9">
        <v>27.365556000000002</v>
      </c>
    </row>
    <row r="10" spans="1:1" x14ac:dyDescent="0.35">
      <c r="A10">
        <v>7.7755530000000004</v>
      </c>
    </row>
    <row r="11" spans="1:1" x14ac:dyDescent="0.35">
      <c r="A11">
        <v>20.995362</v>
      </c>
    </row>
    <row r="13" spans="1:1" x14ac:dyDescent="0.35">
      <c r="A13">
        <f>AVERAGE(A1:A11)</f>
        <v>14.996076540000001</v>
      </c>
    </row>
    <row r="14" spans="1:1" x14ac:dyDescent="0.35">
      <c r="A14">
        <f>_xlfn.STDEV.S(A1:A11)</f>
        <v>6.3592458067868991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21.883358000000001</v>
      </c>
    </row>
    <row r="3" spans="1:1" x14ac:dyDescent="0.35">
      <c r="A3">
        <v>21.589435999999999</v>
      </c>
    </row>
    <row r="4" spans="1:1" x14ac:dyDescent="0.35">
      <c r="A4">
        <v>21.326523000000002</v>
      </c>
    </row>
    <row r="5" spans="1:1" x14ac:dyDescent="0.35">
      <c r="A5">
        <v>32.028427999999998</v>
      </c>
    </row>
    <row r="6" spans="1:1" x14ac:dyDescent="0.35">
      <c r="A6">
        <v>24.458144999999998</v>
      </c>
    </row>
    <row r="7" spans="1:1" x14ac:dyDescent="0.35">
      <c r="A7">
        <v>18.326837000000001</v>
      </c>
    </row>
    <row r="8" spans="1:1" x14ac:dyDescent="0.35">
      <c r="A8">
        <v>23.130651</v>
      </c>
    </row>
    <row r="9" spans="1:1" x14ac:dyDescent="0.35">
      <c r="A9">
        <v>26.300129999999999</v>
      </c>
    </row>
    <row r="10" spans="1:1" x14ac:dyDescent="0.35">
      <c r="A10">
        <v>17.614785999999999</v>
      </c>
    </row>
    <row r="11" spans="1:1" x14ac:dyDescent="0.35">
      <c r="A11">
        <v>24.043558999999998</v>
      </c>
    </row>
    <row r="13" spans="1:1" x14ac:dyDescent="0.35">
      <c r="A13">
        <f>AVERAGE(A1:A11)</f>
        <v>23.070185299999999</v>
      </c>
    </row>
    <row r="14" spans="1:1" x14ac:dyDescent="0.35">
      <c r="A14">
        <f>_xlfn.STDEV.S(A1:A11)</f>
        <v>4.1158564653488225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38.094473000000001</v>
      </c>
    </row>
    <row r="3" spans="1:1" x14ac:dyDescent="0.35">
      <c r="A3">
        <v>25.967544</v>
      </c>
    </row>
    <row r="4" spans="1:1" x14ac:dyDescent="0.35">
      <c r="A4">
        <v>25.25376</v>
      </c>
    </row>
    <row r="5" spans="1:1" x14ac:dyDescent="0.35">
      <c r="A5">
        <v>25.319347</v>
      </c>
    </row>
    <row r="6" spans="1:1" x14ac:dyDescent="0.35">
      <c r="A6">
        <v>35.396810000000002</v>
      </c>
    </row>
    <row r="7" spans="1:1" x14ac:dyDescent="0.35">
      <c r="A7">
        <v>39.550558000000002</v>
      </c>
    </row>
    <row r="8" spans="1:1" x14ac:dyDescent="0.35">
      <c r="A8">
        <v>30.677384</v>
      </c>
    </row>
    <row r="9" spans="1:1" x14ac:dyDescent="0.35">
      <c r="A9">
        <v>24.666646</v>
      </c>
    </row>
    <row r="10" spans="1:1" x14ac:dyDescent="0.35">
      <c r="A10">
        <v>26.976845000000001</v>
      </c>
    </row>
    <row r="11" spans="1:1" x14ac:dyDescent="0.35">
      <c r="A11">
        <v>35.632480000000001</v>
      </c>
    </row>
    <row r="13" spans="1:1" x14ac:dyDescent="0.35">
      <c r="A13">
        <f>AVERAGE(A1:A11)</f>
        <v>30.753584699999998</v>
      </c>
    </row>
    <row r="14" spans="1:1" x14ac:dyDescent="0.35">
      <c r="A14">
        <f>_xlfn.STDEV.S(A1:A11)</f>
        <v>5.8750331398365017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35.468504000000003</v>
      </c>
    </row>
    <row r="3" spans="1:1" x14ac:dyDescent="0.35">
      <c r="A3">
        <v>32.473984000000002</v>
      </c>
    </row>
    <row r="4" spans="1:1" x14ac:dyDescent="0.35">
      <c r="A4">
        <v>36.796944999999987</v>
      </c>
    </row>
    <row r="5" spans="1:1" x14ac:dyDescent="0.35">
      <c r="A5">
        <v>33.187750000000001</v>
      </c>
    </row>
    <row r="6" spans="1:1" x14ac:dyDescent="0.35">
      <c r="A6">
        <v>41.708844999999997</v>
      </c>
    </row>
    <row r="7" spans="1:1" x14ac:dyDescent="0.35">
      <c r="A7">
        <v>44.430031999999997</v>
      </c>
    </row>
    <row r="8" spans="1:1" x14ac:dyDescent="0.35">
      <c r="A8">
        <v>33.496406999999998</v>
      </c>
    </row>
    <row r="9" spans="1:1" x14ac:dyDescent="0.35">
      <c r="A9">
        <v>36.467143999999998</v>
      </c>
    </row>
    <row r="10" spans="1:1" x14ac:dyDescent="0.35">
      <c r="A10">
        <v>28.800022999999999</v>
      </c>
    </row>
    <row r="11" spans="1:1" x14ac:dyDescent="0.35">
      <c r="A11">
        <v>31.110313999999999</v>
      </c>
    </row>
    <row r="13" spans="1:1" x14ac:dyDescent="0.35">
      <c r="A13">
        <f>AVERAGE(A1:A11)</f>
        <v>35.393994800000002</v>
      </c>
    </row>
    <row r="14" spans="1:1" x14ac:dyDescent="0.35">
      <c r="A14">
        <f>_xlfn.STDEV.S(A1:A11)</f>
        <v>4.7548568778797602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10.751267</v>
      </c>
    </row>
    <row r="3" spans="1:1" x14ac:dyDescent="0.35">
      <c r="A3">
        <v>10.6782004</v>
      </c>
    </row>
    <row r="4" spans="1:1" x14ac:dyDescent="0.35">
      <c r="A4">
        <v>10.708262</v>
      </c>
    </row>
    <row r="5" spans="1:1" x14ac:dyDescent="0.35">
      <c r="A5">
        <v>14.807202999999999</v>
      </c>
    </row>
    <row r="6" spans="1:1" x14ac:dyDescent="0.35">
      <c r="A6">
        <v>19.074275</v>
      </c>
    </row>
    <row r="7" spans="1:1" x14ac:dyDescent="0.35">
      <c r="A7">
        <v>8.0935289999999984</v>
      </c>
    </row>
    <row r="8" spans="1:1" x14ac:dyDescent="0.35">
      <c r="A8">
        <v>10.930387</v>
      </c>
    </row>
    <row r="9" spans="1:1" x14ac:dyDescent="0.35">
      <c r="A9">
        <v>21.201291999999999</v>
      </c>
    </row>
    <row r="10" spans="1:1" x14ac:dyDescent="0.35">
      <c r="A10">
        <v>9.0801169999999995</v>
      </c>
    </row>
    <row r="11" spans="1:1" x14ac:dyDescent="0.35">
      <c r="A11">
        <v>19.273211</v>
      </c>
    </row>
    <row r="13" spans="1:1" x14ac:dyDescent="0.35">
      <c r="A13">
        <f>AVERAGE(A1:A11)</f>
        <v>13.459774339999999</v>
      </c>
    </row>
    <row r="14" spans="1:1" x14ac:dyDescent="0.35">
      <c r="A14">
        <f>_xlfn.STDEV.S(A1:A11)</f>
        <v>4.7619451752314106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23.642610000000001</v>
      </c>
    </row>
    <row r="3" spans="1:1" x14ac:dyDescent="0.35">
      <c r="A3">
        <v>27.392095000000001</v>
      </c>
    </row>
    <row r="4" spans="1:1" x14ac:dyDescent="0.35">
      <c r="A4">
        <v>16.825104</v>
      </c>
    </row>
    <row r="5" spans="1:1" x14ac:dyDescent="0.35">
      <c r="A5">
        <v>25.394383000000001</v>
      </c>
    </row>
    <row r="6" spans="1:1" x14ac:dyDescent="0.35">
      <c r="A6">
        <v>26.619145</v>
      </c>
    </row>
    <row r="7" spans="1:1" x14ac:dyDescent="0.35">
      <c r="A7">
        <v>30.208214999999999</v>
      </c>
    </row>
    <row r="8" spans="1:1" x14ac:dyDescent="0.35">
      <c r="A8">
        <v>19.08616</v>
      </c>
    </row>
    <row r="9" spans="1:1" x14ac:dyDescent="0.35">
      <c r="A9">
        <v>21.294588000000001</v>
      </c>
    </row>
    <row r="10" spans="1:1" x14ac:dyDescent="0.35">
      <c r="A10">
        <v>18.230176</v>
      </c>
    </row>
    <row r="11" spans="1:1" x14ac:dyDescent="0.35">
      <c r="A11">
        <v>26.069823</v>
      </c>
    </row>
    <row r="13" spans="1:1" x14ac:dyDescent="0.35">
      <c r="A13">
        <f>AVERAGE(A1:A11)</f>
        <v>23.476229900000003</v>
      </c>
    </row>
    <row r="14" spans="1:1" x14ac:dyDescent="0.35">
      <c r="A14">
        <f>_xlfn.STDEV.S(A1:A11)</f>
        <v>4.4316549376927146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14"/>
  <sheetViews>
    <sheetView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25.688210000000002</v>
      </c>
    </row>
    <row r="3" spans="1:1" x14ac:dyDescent="0.35">
      <c r="A3">
        <v>38.226646000000002</v>
      </c>
    </row>
    <row r="4" spans="1:1" x14ac:dyDescent="0.35">
      <c r="A4">
        <v>31.261099999999999</v>
      </c>
    </row>
    <row r="5" spans="1:1" x14ac:dyDescent="0.35">
      <c r="A5">
        <v>33.420076999999999</v>
      </c>
    </row>
    <row r="6" spans="1:1" x14ac:dyDescent="0.35">
      <c r="A6">
        <v>40.970632000000002</v>
      </c>
    </row>
    <row r="7" spans="1:1" x14ac:dyDescent="0.35">
      <c r="A7">
        <v>42.92671</v>
      </c>
    </row>
    <row r="8" spans="1:1" x14ac:dyDescent="0.35">
      <c r="A8">
        <v>27.551871999999999</v>
      </c>
    </row>
    <row r="9" spans="1:1" x14ac:dyDescent="0.35">
      <c r="A9">
        <v>28.962764</v>
      </c>
    </row>
    <row r="10" spans="1:1" x14ac:dyDescent="0.35">
      <c r="A10">
        <v>27.549696000000001</v>
      </c>
    </row>
    <row r="11" spans="1:1" x14ac:dyDescent="0.35">
      <c r="A11">
        <v>35.577311999999999</v>
      </c>
    </row>
    <row r="13" spans="1:1" x14ac:dyDescent="0.35">
      <c r="A13">
        <f>AVERAGE(A1:A11)</f>
        <v>33.213501899999997</v>
      </c>
    </row>
    <row r="14" spans="1:1" x14ac:dyDescent="0.35">
      <c r="A14">
        <f>_xlfn.STDEV.S(A1:A11)</f>
        <v>6.0362311518002363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14"/>
  <sheetViews>
    <sheetView tabSelected="1" workbookViewId="0">
      <selection activeCell="A13" sqref="A13:A14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>
        <v>41.664006999999998</v>
      </c>
    </row>
    <row r="3" spans="1:1" x14ac:dyDescent="0.35">
      <c r="A3">
        <v>32.942590000000003</v>
      </c>
    </row>
    <row r="4" spans="1:1" x14ac:dyDescent="0.35">
      <c r="A4">
        <v>137.22726</v>
      </c>
    </row>
    <row r="5" spans="1:1" x14ac:dyDescent="0.35">
      <c r="A5">
        <v>138.32871</v>
      </c>
    </row>
    <row r="6" spans="1:1" x14ac:dyDescent="0.35">
      <c r="A6">
        <v>26.298739999999999</v>
      </c>
    </row>
    <row r="7" spans="1:1" x14ac:dyDescent="0.35">
      <c r="A7">
        <v>39.642200000000003</v>
      </c>
    </row>
    <row r="8" spans="1:1" x14ac:dyDescent="0.35">
      <c r="A8">
        <v>29.501819999999999</v>
      </c>
    </row>
    <row r="9" spans="1:1" x14ac:dyDescent="0.35">
      <c r="A9">
        <v>30.223807999999998</v>
      </c>
    </row>
    <row r="10" spans="1:1" x14ac:dyDescent="0.35">
      <c r="A10">
        <v>31.778282000000001</v>
      </c>
    </row>
    <row r="11" spans="1:1" x14ac:dyDescent="0.35">
      <c r="A11">
        <v>32.565376000000001</v>
      </c>
    </row>
    <row r="13" spans="1:1" x14ac:dyDescent="0.35">
      <c r="A13">
        <f>AVERAGE(A1:A11)</f>
        <v>54.017279299999998</v>
      </c>
    </row>
    <row r="14" spans="1:1" x14ac:dyDescent="0.35">
      <c r="A14">
        <f>_xlfn.STDEV.S(A1:A11)</f>
        <v>44.379573133352864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48</vt:i4>
      </vt:variant>
    </vt:vector>
  </HeadingPairs>
  <TitlesOfParts>
    <vt:vector size="48" baseType="lpstr">
      <vt:lpstr>parallel_IIT_PH_30</vt:lpstr>
      <vt:lpstr>parallel_IIT_PH_45</vt:lpstr>
      <vt:lpstr>parallel_IIT_PH_60</vt:lpstr>
      <vt:lpstr>parallel_IIT_PH_120</vt:lpstr>
      <vt:lpstr>parallel_NOIIT_PH_30</vt:lpstr>
      <vt:lpstr>parallel_NOIIT_PH_45</vt:lpstr>
      <vt:lpstr>parallel_NOIIT_PH_60</vt:lpstr>
      <vt:lpstr>parallel_NOIIT_PH_120</vt:lpstr>
      <vt:lpstr>tree_IIT_PH_30</vt:lpstr>
      <vt:lpstr>tree_IIT_PH_45</vt:lpstr>
      <vt:lpstr>tree_IIT_PH_60</vt:lpstr>
      <vt:lpstr>tree_IIT_PH_120</vt:lpstr>
      <vt:lpstr>tree_NOIIT_PH_30</vt:lpstr>
      <vt:lpstr>tree_NOIIT_PH_45</vt:lpstr>
      <vt:lpstr>tree_NOIIT_PH_60</vt:lpstr>
      <vt:lpstr>tree_NOIIT_PH_120</vt:lpstr>
      <vt:lpstr>tree_128_IIT_PH_30</vt:lpstr>
      <vt:lpstr>tree_128_IIT_PH_45</vt:lpstr>
      <vt:lpstr>tree_128_IIT_PH_60</vt:lpstr>
      <vt:lpstr>tree_128_IIT_PH_120</vt:lpstr>
      <vt:lpstr>tree_128_NOIIT_PH_30</vt:lpstr>
      <vt:lpstr>tree_128_NOIIT_PH_45</vt:lpstr>
      <vt:lpstr>tree_128_NOIIT_PH_60</vt:lpstr>
      <vt:lpstr>tree_128_NOIIT_PH_120</vt:lpstr>
      <vt:lpstr>tree_256_IIT_PH_30</vt:lpstr>
      <vt:lpstr>tree_256_IIT_PH_45</vt:lpstr>
      <vt:lpstr>tree_256_IIT_PH_60</vt:lpstr>
      <vt:lpstr>tree_256_IIT_PH_120</vt:lpstr>
      <vt:lpstr>tree_256_NOIIT_PH_30</vt:lpstr>
      <vt:lpstr>tree_256_NOIIT_PH_45</vt:lpstr>
      <vt:lpstr>tree_256_NOIIT_PH_60</vt:lpstr>
      <vt:lpstr>tree_256_NOIIT_PH_120</vt:lpstr>
      <vt:lpstr>tree_256_no_cycles_IIT_PH_30</vt:lpstr>
      <vt:lpstr>tree_256_no_cycles_IIT_PH_45</vt:lpstr>
      <vt:lpstr>tree_256_no_cycles_IIT_PH_60</vt:lpstr>
      <vt:lpstr>tree_256_no_cycles_IIT_PH_120</vt:lpstr>
      <vt:lpstr>tree_256_no_cycles_NOIIT_PH_30</vt:lpstr>
      <vt:lpstr>tree_256_no_cycles_NOIIT_PH_45</vt:lpstr>
      <vt:lpstr>tree_256_no_cycles_NOIIT_PH_60</vt:lpstr>
      <vt:lpstr>tree_256_no_cycles_NOIIT_PH_120</vt:lpstr>
      <vt:lpstr>tree_joint_IIT_PH_30</vt:lpstr>
      <vt:lpstr>tree_joint_IIT_PH_45</vt:lpstr>
      <vt:lpstr>tree_joint_IIT_PH_60</vt:lpstr>
      <vt:lpstr>tree_joint_IIT_PH_120</vt:lpstr>
      <vt:lpstr>tree_joint_NOIIT_PH_30</vt:lpstr>
      <vt:lpstr>tree_joint_NOIIT_PH_45</vt:lpstr>
      <vt:lpstr>tree_joint_NOIIT_PH_60</vt:lpstr>
      <vt:lpstr>tree_joint_NOIIT_PH_120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Esponera Gómez</cp:lastModifiedBy>
  <dcterms:created xsi:type="dcterms:W3CDTF">2025-02-14T17:05:41Z</dcterms:created>
  <dcterms:modified xsi:type="dcterms:W3CDTF">2025-02-14T17:25:32Z</dcterms:modified>
</cp:coreProperties>
</file>