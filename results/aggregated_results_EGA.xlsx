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naes\IIT_simglucose\results\"/>
    </mc:Choice>
  </mc:AlternateContent>
  <xr:revisionPtr revIDLastSave="0" documentId="13_ncr:1_{5EE0A0BD-FCD8-4910-A514-BB4FFEB71559}" xr6:coauthVersionLast="47" xr6:coauthVersionMax="47" xr10:uidLastSave="{00000000-0000-0000-0000-000000000000}"/>
  <bookViews>
    <workbookView xWindow="0" yWindow="0" windowWidth="9600" windowHeight="10200" firstSheet="47" activeTab="47" xr2:uid="{00000000-000D-0000-FFFF-FFFF00000000}"/>
  </bookViews>
  <sheets>
    <sheet name="parallel_IIT_PH_30" sheetId="1" r:id="rId1"/>
    <sheet name="parallel_IIT_PH_45" sheetId="2" r:id="rId2"/>
    <sheet name="parallel_IIT_PH_60" sheetId="3" r:id="rId3"/>
    <sheet name="parallel_IIT_PH_120" sheetId="4" r:id="rId4"/>
    <sheet name="parallel_NOIIT_PH_30" sheetId="5" r:id="rId5"/>
    <sheet name="parallel_NOIIT_PH_45" sheetId="6" r:id="rId6"/>
    <sheet name="parallel_NOIIT_PH_60" sheetId="7" r:id="rId7"/>
    <sheet name="parallel_NOIIT_PH_120" sheetId="8" r:id="rId8"/>
    <sheet name="tree_IIT_PH_30" sheetId="9" r:id="rId9"/>
    <sheet name="tree_IIT_PH_45" sheetId="10" r:id="rId10"/>
    <sheet name="tree_IIT_PH_60" sheetId="11" r:id="rId11"/>
    <sheet name="tree_IIT_PH_120" sheetId="12" r:id="rId12"/>
    <sheet name="tree_NOIIT_PH_30" sheetId="13" r:id="rId13"/>
    <sheet name="tree_NOIIT_PH_45" sheetId="14" r:id="rId14"/>
    <sheet name="tree_NOIIT_PH_60" sheetId="15" r:id="rId15"/>
    <sheet name="tree_NOIIT_PH_120" sheetId="16" r:id="rId16"/>
    <sheet name="tree_128_IIT_PH_30" sheetId="17" r:id="rId17"/>
    <sheet name="tree_128_IIT_PH_45" sheetId="18" r:id="rId18"/>
    <sheet name="tree_128_IIT_PH_60" sheetId="19" r:id="rId19"/>
    <sheet name="tree_128_IIT_PH_120" sheetId="20" r:id="rId20"/>
    <sheet name="tree_128_NOIIT_PH_30" sheetId="21" r:id="rId21"/>
    <sheet name="tree_128_NOIIT_PH_45" sheetId="22" r:id="rId22"/>
    <sheet name="tree_128_NOIIT_PH_60" sheetId="23" r:id="rId23"/>
    <sheet name="tree_128_NOIIT_PH_120" sheetId="24" r:id="rId24"/>
    <sheet name="tree_256_IIT_PH_30" sheetId="25" r:id="rId25"/>
    <sheet name="tree_256_IIT_PH_45" sheetId="26" r:id="rId26"/>
    <sheet name="tree_256_IIT_PH_60" sheetId="27" r:id="rId27"/>
    <sheet name="tree_256_IIT_PH_120" sheetId="28" r:id="rId28"/>
    <sheet name="tree_256_NOIIT_PH_30" sheetId="29" r:id="rId29"/>
    <sheet name="tree_256_NOIIT_PH_45" sheetId="30" r:id="rId30"/>
    <sheet name="tree_256_NOIIT_PH_60" sheetId="31" r:id="rId31"/>
    <sheet name="tree_256_NOIIT_PH_120" sheetId="32" r:id="rId32"/>
    <sheet name="tree_256_no_cycles_IIT_PH_30" sheetId="33" r:id="rId33"/>
    <sheet name="tree_256_no_cycles_IIT_PH_45" sheetId="34" r:id="rId34"/>
    <sheet name="tree_256_no_cycles_IIT_PH_60" sheetId="35" r:id="rId35"/>
    <sheet name="tree_256_no_cycles_IIT_PH_120" sheetId="36" r:id="rId36"/>
    <sheet name="tree_256_no_cycles_NOIIT_PH_30" sheetId="37" r:id="rId37"/>
    <sheet name="tree_256_no_cycles_NOIIT_PH_45" sheetId="38" r:id="rId38"/>
    <sheet name="tree_256_no_cycles_NOIIT_PH_60" sheetId="39" r:id="rId39"/>
    <sheet name="tree_256_no_cycles_NOIIT_PH_120" sheetId="40" r:id="rId40"/>
    <sheet name="tree_joint_IIT_PH_30" sheetId="41" r:id="rId41"/>
    <sheet name="tree_joint_IIT_PH_45" sheetId="42" r:id="rId42"/>
    <sheet name="tree_joint_IIT_PH_60" sheetId="43" r:id="rId43"/>
    <sheet name="tree_joint_IIT_PH_120" sheetId="44" r:id="rId44"/>
    <sheet name="tree_joint_NOIIT_PH_30" sheetId="45" r:id="rId45"/>
    <sheet name="tree_joint_NOIIT_PH_45" sheetId="46" r:id="rId46"/>
    <sheet name="tree_joint_NOIIT_PH_60" sheetId="47" r:id="rId47"/>
    <sheet name="tree_joint_NOIIT_PH_120" sheetId="48" r:id="rId4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48" l="1"/>
  <c r="A13" i="48"/>
  <c r="A14" i="47"/>
  <c r="A13" i="47"/>
  <c r="A14" i="46"/>
  <c r="A13" i="46"/>
  <c r="A14" i="45"/>
  <c r="A13" i="45"/>
  <c r="A14" i="44"/>
  <c r="A13" i="44"/>
  <c r="A14" i="43"/>
  <c r="A13" i="43"/>
  <c r="A14" i="42"/>
  <c r="A13" i="42"/>
  <c r="A14" i="41"/>
  <c r="A13" i="41"/>
  <c r="A15" i="32"/>
  <c r="A14" i="32"/>
  <c r="A14" i="31"/>
  <c r="A13" i="31"/>
  <c r="A14" i="30"/>
  <c r="A13" i="30"/>
  <c r="A14" i="29"/>
  <c r="A13" i="29"/>
  <c r="A14" i="28"/>
  <c r="A13" i="28"/>
  <c r="A14" i="27"/>
  <c r="A13" i="27"/>
  <c r="A14" i="26"/>
  <c r="A13" i="26"/>
  <c r="A14" i="25"/>
  <c r="A13" i="25"/>
  <c r="A14" i="24"/>
  <c r="A13" i="24"/>
  <c r="A14" i="23"/>
  <c r="A13" i="23"/>
  <c r="A14" i="22"/>
  <c r="A13" i="22"/>
  <c r="A14" i="21"/>
  <c r="A13" i="21"/>
  <c r="A14" i="20"/>
  <c r="A13" i="20"/>
  <c r="A14" i="19"/>
  <c r="A13" i="19"/>
  <c r="A14" i="18"/>
  <c r="A13" i="18"/>
  <c r="A14" i="17"/>
  <c r="A13" i="17"/>
  <c r="A14" i="8"/>
  <c r="A13" i="8"/>
  <c r="A14" i="7"/>
  <c r="A13" i="7"/>
  <c r="A14" i="6"/>
  <c r="A13" i="6"/>
  <c r="A14" i="5"/>
  <c r="A13" i="5"/>
  <c r="A14" i="4"/>
  <c r="A13" i="4"/>
  <c r="A14" i="3"/>
  <c r="A13" i="3"/>
  <c r="A14" i="2"/>
  <c r="A13" i="2"/>
</calcChain>
</file>

<file path=xl/sharedStrings.xml><?xml version="1.0" encoding="utf-8"?>
<sst xmlns="http://schemas.openxmlformats.org/spreadsheetml/2006/main" count="48" uniqueCount="1">
  <si>
    <t>EGA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</si>
</sst>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4" sqref="A14"/>
    </sheetView>
  </sheetViews>
  <sheetFormatPr baseColWidth="10" defaultColWidth="8.7265625" defaultRowHeight="14.5" x14ac:dyDescent="0.35"/>
  <cols>
    <col min="1" max="1" width="11.1796875" bestFit="1" customWidth="1"/>
  </cols>
  <sheetData>
    <row r="1" spans="1:1" x14ac:dyDescent="0.35">
      <c r="A1" s="1" t="s">
        <v>0</v>
      </c>
    </row>
    <row r="2" spans="1:1" x14ac:dyDescent="0.35">
      <c r="A2">
        <v>96.666666666666671</v>
      </c>
    </row>
    <row r="3" spans="1:1" x14ac:dyDescent="0.35">
      <c r="A3">
        <v>100</v>
      </c>
    </row>
    <row r="4" spans="1:1" x14ac:dyDescent="0.35">
      <c r="A4">
        <v>96.666666666666671</v>
      </c>
    </row>
    <row r="5" spans="1:1" x14ac:dyDescent="0.35">
      <c r="A5">
        <v>100</v>
      </c>
    </row>
    <row r="6" spans="1:1" x14ac:dyDescent="0.35">
      <c r="A6">
        <v>100</v>
      </c>
    </row>
    <row r="7" spans="1:1" x14ac:dyDescent="0.35">
      <c r="A7">
        <v>100</v>
      </c>
    </row>
    <row r="8" spans="1:1" x14ac:dyDescent="0.35">
      <c r="A8">
        <v>100</v>
      </c>
    </row>
    <row r="9" spans="1:1" x14ac:dyDescent="0.35">
      <c r="A9">
        <v>96.666666666666671</v>
      </c>
    </row>
    <row r="10" spans="1:1" x14ac:dyDescent="0.35">
      <c r="A10">
        <v>100</v>
      </c>
    </row>
    <row r="11" spans="1:1" x14ac:dyDescent="0.35">
      <c r="A11">
        <v>100</v>
      </c>
    </row>
    <row r="12" spans="1:1" x14ac:dyDescent="0.35">
      <c r="A12">
        <v>83.333333333333329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83.333333333333329</v>
      </c>
    </row>
    <row r="3" spans="1:1" x14ac:dyDescent="0.35">
      <c r="A3">
        <v>83.333333333333329</v>
      </c>
    </row>
    <row r="4" spans="1:1" x14ac:dyDescent="0.35">
      <c r="A4">
        <v>76.666666666666671</v>
      </c>
    </row>
    <row r="5" spans="1:1" x14ac:dyDescent="0.35">
      <c r="A5">
        <v>80</v>
      </c>
    </row>
    <row r="6" spans="1:1" x14ac:dyDescent="0.35">
      <c r="A6">
        <v>83.333333333333329</v>
      </c>
    </row>
    <row r="7" spans="1:1" x14ac:dyDescent="0.35">
      <c r="A7">
        <v>76.666666666666671</v>
      </c>
    </row>
    <row r="8" spans="1:1" x14ac:dyDescent="0.35">
      <c r="A8">
        <v>76.666666666666671</v>
      </c>
    </row>
    <row r="9" spans="1:1" x14ac:dyDescent="0.35">
      <c r="A9">
        <v>80</v>
      </c>
    </row>
    <row r="10" spans="1:1" x14ac:dyDescent="0.35">
      <c r="A10">
        <v>76.666666666666671</v>
      </c>
    </row>
    <row r="11" spans="1:1" x14ac:dyDescent="0.35">
      <c r="A11">
        <v>73.333333333333329</v>
      </c>
    </row>
    <row r="13" spans="1:1" x14ac:dyDescent="0.35">
      <c r="A13">
        <f>AVERAGE(A2:A11)</f>
        <v>79</v>
      </c>
    </row>
    <row r="14" spans="1:1" x14ac:dyDescent="0.35">
      <c r="A14">
        <f>_xlfn.STDEV.S(A2:A11)</f>
        <v>3.5311663515712652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73.333333333333329</v>
      </c>
    </row>
    <row r="3" spans="1:1" x14ac:dyDescent="0.35">
      <c r="A3">
        <v>73.333333333333329</v>
      </c>
    </row>
    <row r="4" spans="1:1" x14ac:dyDescent="0.35">
      <c r="A4">
        <v>70</v>
      </c>
    </row>
    <row r="5" spans="1:1" x14ac:dyDescent="0.35">
      <c r="A5">
        <v>73.333333333333329</v>
      </c>
    </row>
    <row r="6" spans="1:1" x14ac:dyDescent="0.35">
      <c r="A6">
        <v>73.333333333333329</v>
      </c>
    </row>
    <row r="7" spans="1:1" x14ac:dyDescent="0.35">
      <c r="A7">
        <v>70</v>
      </c>
    </row>
    <row r="8" spans="1:1" x14ac:dyDescent="0.35">
      <c r="A8">
        <v>73.333333333333329</v>
      </c>
    </row>
    <row r="9" spans="1:1" x14ac:dyDescent="0.35">
      <c r="A9">
        <v>76.666666666666671</v>
      </c>
    </row>
    <row r="10" spans="1:1" x14ac:dyDescent="0.35">
      <c r="A10">
        <v>70</v>
      </c>
    </row>
    <row r="11" spans="1:1" x14ac:dyDescent="0.35">
      <c r="A11">
        <v>70</v>
      </c>
    </row>
    <row r="13" spans="1:1" x14ac:dyDescent="0.35">
      <c r="A13">
        <f>AVERAGE(A2:A11)</f>
        <v>72.333333333333329</v>
      </c>
    </row>
    <row r="14" spans="1:1" x14ac:dyDescent="0.35">
      <c r="A14">
        <f>_xlfn.STDEV.S(A2:A11)</f>
        <v>2.2498285257018424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53.333333333333343</v>
      </c>
    </row>
    <row r="3" spans="1:1" x14ac:dyDescent="0.35">
      <c r="A3">
        <v>66.666666666666671</v>
      </c>
    </row>
    <row r="4" spans="1:1" x14ac:dyDescent="0.35">
      <c r="A4">
        <v>66.666666666666671</v>
      </c>
    </row>
    <row r="5" spans="1:1" x14ac:dyDescent="0.35">
      <c r="A5">
        <v>60</v>
      </c>
    </row>
    <row r="6" spans="1:1" x14ac:dyDescent="0.35">
      <c r="A6">
        <v>66.666666666666671</v>
      </c>
    </row>
    <row r="7" spans="1:1" x14ac:dyDescent="0.35">
      <c r="A7">
        <v>63.333333333333343</v>
      </c>
    </row>
    <row r="8" spans="1:1" x14ac:dyDescent="0.35">
      <c r="A8">
        <v>63.333333333333343</v>
      </c>
    </row>
    <row r="9" spans="1:1" x14ac:dyDescent="0.35">
      <c r="A9">
        <v>60</v>
      </c>
    </row>
    <row r="10" spans="1:1" x14ac:dyDescent="0.35">
      <c r="A10">
        <v>66.666666666666671</v>
      </c>
    </row>
    <row r="11" spans="1:1" x14ac:dyDescent="0.35">
      <c r="A11">
        <v>60</v>
      </c>
    </row>
    <row r="13" spans="1:1" x14ac:dyDescent="0.35">
      <c r="A13">
        <f>AVERAGE(A2:A11)</f>
        <v>62.666666666666671</v>
      </c>
    </row>
    <row r="14" spans="1:1" x14ac:dyDescent="0.35">
      <c r="A14">
        <f>_xlfn.STDEV.S(A2:A11)</f>
        <v>4.3885372573625556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100</v>
      </c>
    </row>
    <row r="3" spans="1:1" x14ac:dyDescent="0.35">
      <c r="A3">
        <v>100</v>
      </c>
    </row>
    <row r="4" spans="1:1" x14ac:dyDescent="0.35">
      <c r="A4">
        <v>100</v>
      </c>
    </row>
    <row r="5" spans="1:1" x14ac:dyDescent="0.35">
      <c r="A5">
        <v>100</v>
      </c>
    </row>
    <row r="6" spans="1:1" x14ac:dyDescent="0.35">
      <c r="A6">
        <v>93.333333333333329</v>
      </c>
    </row>
    <row r="7" spans="1:1" x14ac:dyDescent="0.35">
      <c r="A7">
        <v>96.666666666666671</v>
      </c>
    </row>
    <row r="8" spans="1:1" x14ac:dyDescent="0.35">
      <c r="A8">
        <v>100</v>
      </c>
    </row>
    <row r="9" spans="1:1" x14ac:dyDescent="0.35">
      <c r="A9">
        <v>96.666666666666671</v>
      </c>
    </row>
    <row r="10" spans="1:1" x14ac:dyDescent="0.35">
      <c r="A10">
        <v>96.666666666666671</v>
      </c>
    </row>
    <row r="11" spans="1:1" x14ac:dyDescent="0.35">
      <c r="A11">
        <v>93.333333333333329</v>
      </c>
    </row>
    <row r="13" spans="1:1" x14ac:dyDescent="0.35">
      <c r="A13">
        <f>AVERAGE(A2:A11)</f>
        <v>97.666666666666657</v>
      </c>
    </row>
    <row r="14" spans="1:1" x14ac:dyDescent="0.35">
      <c r="A14">
        <f>_xlfn.STDEV.S(A2:A11)</f>
        <v>2.7442420078285497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83.333333333333329</v>
      </c>
    </row>
    <row r="3" spans="1:1" x14ac:dyDescent="0.35">
      <c r="A3">
        <v>83.333333333333329</v>
      </c>
    </row>
    <row r="4" spans="1:1" x14ac:dyDescent="0.35">
      <c r="A4">
        <v>70</v>
      </c>
    </row>
    <row r="5" spans="1:1" x14ac:dyDescent="0.35">
      <c r="A5">
        <v>86.666666666666671</v>
      </c>
    </row>
    <row r="6" spans="1:1" x14ac:dyDescent="0.35">
      <c r="A6">
        <v>70</v>
      </c>
    </row>
    <row r="7" spans="1:1" x14ac:dyDescent="0.35">
      <c r="A7">
        <v>63.333333333333343</v>
      </c>
    </row>
    <row r="8" spans="1:1" x14ac:dyDescent="0.35">
      <c r="A8">
        <v>80</v>
      </c>
    </row>
    <row r="9" spans="1:1" x14ac:dyDescent="0.35">
      <c r="A9">
        <v>76.666666666666671</v>
      </c>
    </row>
    <row r="10" spans="1:1" x14ac:dyDescent="0.35">
      <c r="A10">
        <v>80</v>
      </c>
    </row>
    <row r="11" spans="1:1" x14ac:dyDescent="0.35">
      <c r="A11">
        <v>73.333333333333329</v>
      </c>
    </row>
    <row r="13" spans="1:1" x14ac:dyDescent="0.35">
      <c r="A13">
        <f>AVERAGE(A2:A11)</f>
        <v>76.666666666666657</v>
      </c>
    </row>
    <row r="14" spans="1:1" x14ac:dyDescent="0.35">
      <c r="A14">
        <f>_xlfn.STDEV.S(A2:A11)</f>
        <v>7.3702773119008871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66.666666666666671</v>
      </c>
    </row>
    <row r="3" spans="1:1" x14ac:dyDescent="0.35">
      <c r="A3">
        <v>73.333333333333329</v>
      </c>
    </row>
    <row r="4" spans="1:1" x14ac:dyDescent="0.35">
      <c r="A4">
        <v>66.666666666666671</v>
      </c>
    </row>
    <row r="5" spans="1:1" x14ac:dyDescent="0.35">
      <c r="A5">
        <v>73.333333333333329</v>
      </c>
    </row>
    <row r="6" spans="1:1" x14ac:dyDescent="0.35">
      <c r="A6">
        <v>76.666666666666671</v>
      </c>
    </row>
    <row r="7" spans="1:1" x14ac:dyDescent="0.35">
      <c r="A7">
        <v>63.333333333333343</v>
      </c>
    </row>
    <row r="8" spans="1:1" x14ac:dyDescent="0.35">
      <c r="A8">
        <v>73.333333333333329</v>
      </c>
    </row>
    <row r="9" spans="1:1" x14ac:dyDescent="0.35">
      <c r="A9">
        <v>70</v>
      </c>
    </row>
    <row r="10" spans="1:1" x14ac:dyDescent="0.35">
      <c r="A10">
        <v>70</v>
      </c>
    </row>
    <row r="11" spans="1:1" x14ac:dyDescent="0.35">
      <c r="A11">
        <v>70</v>
      </c>
    </row>
    <row r="13" spans="1:1" x14ac:dyDescent="0.35">
      <c r="A13">
        <f>AVERAGE(A2:A11)</f>
        <v>70.333333333333329</v>
      </c>
    </row>
    <row r="14" spans="1:1" x14ac:dyDescent="0.35">
      <c r="A14">
        <f>_xlfn.STDEV.S(A2:A11)</f>
        <v>3.9907299991262128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53.333333333333343</v>
      </c>
    </row>
    <row r="3" spans="1:1" x14ac:dyDescent="0.35">
      <c r="A3">
        <v>63.333333333333343</v>
      </c>
    </row>
    <row r="4" spans="1:1" x14ac:dyDescent="0.35">
      <c r="A4">
        <v>0</v>
      </c>
    </row>
    <row r="5" spans="1:1" x14ac:dyDescent="0.35">
      <c r="A5">
        <v>60</v>
      </c>
    </row>
    <row r="6" spans="1:1" x14ac:dyDescent="0.35">
      <c r="A6">
        <v>66.666666666666671</v>
      </c>
    </row>
    <row r="7" spans="1:1" x14ac:dyDescent="0.35">
      <c r="A7">
        <v>53.333333333333343</v>
      </c>
    </row>
    <row r="8" spans="1:1" x14ac:dyDescent="0.35">
      <c r="A8">
        <v>63.333333333333343</v>
      </c>
    </row>
    <row r="9" spans="1:1" x14ac:dyDescent="0.35">
      <c r="A9">
        <v>60</v>
      </c>
    </row>
    <row r="10" spans="1:1" x14ac:dyDescent="0.35">
      <c r="A10">
        <v>66.666666666666671</v>
      </c>
    </row>
    <row r="11" spans="1:1" x14ac:dyDescent="0.35">
      <c r="A11">
        <v>60</v>
      </c>
    </row>
    <row r="13" spans="1:1" x14ac:dyDescent="0.35">
      <c r="A13">
        <f>AVERAGE(A2:A11)</f>
        <v>54.666666666666671</v>
      </c>
    </row>
    <row r="14" spans="1:1" x14ac:dyDescent="0.35">
      <c r="A14">
        <f>_xlfn.STDEV.S(A2:A11)</f>
        <v>19.764040172763686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93.333333333333329</v>
      </c>
    </row>
    <row r="3" spans="1:1" x14ac:dyDescent="0.35">
      <c r="A3">
        <v>90</v>
      </c>
    </row>
    <row r="4" spans="1:1" x14ac:dyDescent="0.35">
      <c r="A4">
        <v>83.333333333333329</v>
      </c>
    </row>
    <row r="5" spans="1:1" x14ac:dyDescent="0.35">
      <c r="A5">
        <v>93.333333333333329</v>
      </c>
    </row>
    <row r="6" spans="1:1" x14ac:dyDescent="0.35">
      <c r="A6">
        <v>80</v>
      </c>
    </row>
    <row r="7" spans="1:1" x14ac:dyDescent="0.35">
      <c r="A7">
        <v>90</v>
      </c>
    </row>
    <row r="8" spans="1:1" x14ac:dyDescent="0.35">
      <c r="A8">
        <v>76.666666666666671</v>
      </c>
    </row>
    <row r="9" spans="1:1" x14ac:dyDescent="0.35">
      <c r="A9">
        <v>100</v>
      </c>
    </row>
    <row r="10" spans="1:1" x14ac:dyDescent="0.35">
      <c r="A10">
        <v>96.666666666666671</v>
      </c>
    </row>
    <row r="11" spans="1:1" x14ac:dyDescent="0.35">
      <c r="A11">
        <v>96.666666666666671</v>
      </c>
    </row>
    <row r="13" spans="1:1" x14ac:dyDescent="0.35">
      <c r="A13">
        <f>AVERAGE(A2:A11)</f>
        <v>89.999999999999986</v>
      </c>
    </row>
    <row r="14" spans="1:1" x14ac:dyDescent="0.35">
      <c r="A14">
        <f>_xlfn.STDEV.S(A2:A11)</f>
        <v>7.6980035891950109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70</v>
      </c>
    </row>
    <row r="3" spans="1:1" x14ac:dyDescent="0.35">
      <c r="A3">
        <v>73.333333333333329</v>
      </c>
    </row>
    <row r="4" spans="1:1" x14ac:dyDescent="0.35">
      <c r="A4">
        <v>66.666666666666671</v>
      </c>
    </row>
    <row r="5" spans="1:1" x14ac:dyDescent="0.35">
      <c r="A5">
        <v>70</v>
      </c>
    </row>
    <row r="6" spans="1:1" x14ac:dyDescent="0.35">
      <c r="A6">
        <v>83.333333333333329</v>
      </c>
    </row>
    <row r="7" spans="1:1" x14ac:dyDescent="0.35">
      <c r="A7">
        <v>70</v>
      </c>
    </row>
    <row r="8" spans="1:1" x14ac:dyDescent="0.35">
      <c r="A8">
        <v>73.333333333333329</v>
      </c>
    </row>
    <row r="9" spans="1:1" x14ac:dyDescent="0.35">
      <c r="A9">
        <v>80</v>
      </c>
    </row>
    <row r="10" spans="1:1" x14ac:dyDescent="0.35">
      <c r="A10">
        <v>73.333333333333329</v>
      </c>
    </row>
    <row r="11" spans="1:1" x14ac:dyDescent="0.35">
      <c r="A11">
        <v>86.666666666666671</v>
      </c>
    </row>
    <row r="13" spans="1:1" x14ac:dyDescent="0.35">
      <c r="A13">
        <f>AVERAGE(A2:A11)</f>
        <v>74.666666666666657</v>
      </c>
    </row>
    <row r="14" spans="1:1" x14ac:dyDescent="0.35">
      <c r="A14">
        <f>_xlfn.STDEV.S(A2:A11)</f>
        <v>6.516834799384525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70</v>
      </c>
    </row>
    <row r="3" spans="1:1" x14ac:dyDescent="0.35">
      <c r="A3">
        <v>56.666666666666657</v>
      </c>
    </row>
    <row r="4" spans="1:1" x14ac:dyDescent="0.35">
      <c r="A4">
        <v>70</v>
      </c>
    </row>
    <row r="5" spans="1:1" x14ac:dyDescent="0.35">
      <c r="A5">
        <v>60</v>
      </c>
    </row>
    <row r="6" spans="1:1" x14ac:dyDescent="0.35">
      <c r="A6">
        <v>46.666666666666657</v>
      </c>
    </row>
    <row r="7" spans="1:1" x14ac:dyDescent="0.35">
      <c r="A7">
        <v>53.333333333333343</v>
      </c>
    </row>
    <row r="8" spans="1:1" x14ac:dyDescent="0.35">
      <c r="A8">
        <v>70</v>
      </c>
    </row>
    <row r="9" spans="1:1" x14ac:dyDescent="0.35">
      <c r="A9">
        <v>80</v>
      </c>
    </row>
    <row r="10" spans="1:1" x14ac:dyDescent="0.35">
      <c r="A10">
        <v>70</v>
      </c>
    </row>
    <row r="11" spans="1:1" x14ac:dyDescent="0.35">
      <c r="A11">
        <v>76.666666666666671</v>
      </c>
    </row>
    <row r="13" spans="1:1" x14ac:dyDescent="0.35">
      <c r="A13">
        <f>AVERAGE(A2:A11)</f>
        <v>65.333333333333329</v>
      </c>
    </row>
    <row r="14" spans="1:1" x14ac:dyDescent="0.35">
      <c r="A14">
        <f>_xlfn.STDEV.S(A2:A11)</f>
        <v>10.680546525064877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66.666666666666671</v>
      </c>
    </row>
    <row r="3" spans="1:1" x14ac:dyDescent="0.35">
      <c r="A3">
        <v>60</v>
      </c>
    </row>
    <row r="4" spans="1:1" x14ac:dyDescent="0.35">
      <c r="A4">
        <v>60</v>
      </c>
    </row>
    <row r="5" spans="1:1" x14ac:dyDescent="0.35">
      <c r="A5">
        <v>70</v>
      </c>
    </row>
    <row r="6" spans="1:1" x14ac:dyDescent="0.35">
      <c r="A6">
        <v>60</v>
      </c>
    </row>
    <row r="7" spans="1:1" x14ac:dyDescent="0.35">
      <c r="A7">
        <v>53.333333333333343</v>
      </c>
    </row>
    <row r="8" spans="1:1" x14ac:dyDescent="0.35">
      <c r="A8">
        <v>46.666666666666657</v>
      </c>
    </row>
    <row r="9" spans="1:1" x14ac:dyDescent="0.35">
      <c r="A9">
        <v>63.333333333333343</v>
      </c>
    </row>
    <row r="10" spans="1:1" x14ac:dyDescent="0.35">
      <c r="A10">
        <v>60</v>
      </c>
    </row>
    <row r="11" spans="1:1" x14ac:dyDescent="0.35">
      <c r="A11">
        <v>60</v>
      </c>
    </row>
    <row r="13" spans="1:1" x14ac:dyDescent="0.35">
      <c r="A13">
        <f>AVERAGE(A2:A11)</f>
        <v>60</v>
      </c>
    </row>
    <row r="14" spans="1:1" x14ac:dyDescent="0.35">
      <c r="A14">
        <f>_xlfn.STDEV.S(A2:A11)</f>
        <v>6.4788354387170282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86.666666666666671</v>
      </c>
    </row>
    <row r="3" spans="1:1" x14ac:dyDescent="0.35">
      <c r="A3">
        <v>90</v>
      </c>
    </row>
    <row r="4" spans="1:1" x14ac:dyDescent="0.35">
      <c r="A4">
        <v>83.333333333333329</v>
      </c>
    </row>
    <row r="5" spans="1:1" x14ac:dyDescent="0.35">
      <c r="A5">
        <v>76.666666666666671</v>
      </c>
    </row>
    <row r="6" spans="1:1" x14ac:dyDescent="0.35">
      <c r="A6">
        <v>86.666666666666671</v>
      </c>
    </row>
    <row r="7" spans="1:1" x14ac:dyDescent="0.35">
      <c r="A7">
        <v>96.666666666666671</v>
      </c>
    </row>
    <row r="8" spans="1:1" x14ac:dyDescent="0.35">
      <c r="A8">
        <v>80</v>
      </c>
    </row>
    <row r="9" spans="1:1" x14ac:dyDescent="0.35">
      <c r="A9">
        <v>100</v>
      </c>
    </row>
    <row r="10" spans="1:1" x14ac:dyDescent="0.35">
      <c r="A10">
        <v>90</v>
      </c>
    </row>
    <row r="11" spans="1:1" x14ac:dyDescent="0.35">
      <c r="A11">
        <v>100</v>
      </c>
    </row>
    <row r="13" spans="1:1" x14ac:dyDescent="0.35">
      <c r="A13">
        <f>AVERAGE(A2:A11)</f>
        <v>89</v>
      </c>
    </row>
    <row r="14" spans="1:1" x14ac:dyDescent="0.35">
      <c r="A14">
        <f>_xlfn.STDEV.S(A2:A11)</f>
        <v>8.0200366367193734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76.666666666666671</v>
      </c>
    </row>
    <row r="3" spans="1:1" x14ac:dyDescent="0.35">
      <c r="A3">
        <v>76.666666666666671</v>
      </c>
    </row>
    <row r="4" spans="1:1" x14ac:dyDescent="0.35">
      <c r="A4">
        <v>53.333333333333343</v>
      </c>
    </row>
    <row r="5" spans="1:1" x14ac:dyDescent="0.35">
      <c r="A5">
        <v>40</v>
      </c>
    </row>
    <row r="6" spans="1:1" x14ac:dyDescent="0.35">
      <c r="A6">
        <v>73.333333333333329</v>
      </c>
    </row>
    <row r="7" spans="1:1" x14ac:dyDescent="0.35">
      <c r="A7">
        <v>70</v>
      </c>
    </row>
    <row r="8" spans="1:1" x14ac:dyDescent="0.35">
      <c r="A8">
        <v>76.666666666666671</v>
      </c>
    </row>
    <row r="9" spans="1:1" x14ac:dyDescent="0.35">
      <c r="A9">
        <v>73.333333333333329</v>
      </c>
    </row>
    <row r="10" spans="1:1" x14ac:dyDescent="0.35">
      <c r="A10">
        <v>66.666666666666671</v>
      </c>
    </row>
    <row r="11" spans="1:1" x14ac:dyDescent="0.35">
      <c r="A11">
        <v>70</v>
      </c>
    </row>
    <row r="13" spans="1:1" x14ac:dyDescent="0.35">
      <c r="A13">
        <f>AVERAGE(A2:A11)</f>
        <v>67.666666666666657</v>
      </c>
    </row>
    <row r="14" spans="1:1" x14ac:dyDescent="0.35">
      <c r="A14">
        <f>_xlfn.STDEV.S(A2:A11)</f>
        <v>11.972189997378681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76.666666666666671</v>
      </c>
    </row>
    <row r="3" spans="1:1" x14ac:dyDescent="0.35">
      <c r="A3">
        <v>66.666666666666671</v>
      </c>
    </row>
    <row r="4" spans="1:1" x14ac:dyDescent="0.35">
      <c r="A4">
        <v>70</v>
      </c>
    </row>
    <row r="5" spans="1:1" x14ac:dyDescent="0.35">
      <c r="A5">
        <v>60</v>
      </c>
    </row>
    <row r="6" spans="1:1" x14ac:dyDescent="0.35">
      <c r="A6">
        <v>46.666666666666657</v>
      </c>
    </row>
    <row r="7" spans="1:1" x14ac:dyDescent="0.35">
      <c r="A7">
        <v>63.333333333333343</v>
      </c>
    </row>
    <row r="8" spans="1:1" x14ac:dyDescent="0.35">
      <c r="A8">
        <v>30</v>
      </c>
    </row>
    <row r="9" spans="1:1" x14ac:dyDescent="0.35">
      <c r="A9">
        <v>80</v>
      </c>
    </row>
    <row r="10" spans="1:1" x14ac:dyDescent="0.35">
      <c r="A10">
        <v>73.333333333333329</v>
      </c>
    </row>
    <row r="11" spans="1:1" x14ac:dyDescent="0.35">
      <c r="A11">
        <v>76.666666666666671</v>
      </c>
    </row>
    <row r="13" spans="1:1" x14ac:dyDescent="0.35">
      <c r="A13">
        <f>AVERAGE(A2:A11)</f>
        <v>64.333333333333343</v>
      </c>
    </row>
    <row r="14" spans="1:1" x14ac:dyDescent="0.35">
      <c r="A14">
        <f>_xlfn.STDEV.S(A2:A11)</f>
        <v>15.559523303498052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66.666666666666671</v>
      </c>
    </row>
    <row r="3" spans="1:1" x14ac:dyDescent="0.35">
      <c r="A3">
        <v>53.333333333333343</v>
      </c>
    </row>
    <row r="4" spans="1:1" x14ac:dyDescent="0.35">
      <c r="A4">
        <v>53.333333333333343</v>
      </c>
    </row>
    <row r="5" spans="1:1" x14ac:dyDescent="0.35">
      <c r="A5">
        <v>63.333333333333343</v>
      </c>
    </row>
    <row r="6" spans="1:1" x14ac:dyDescent="0.35">
      <c r="A6">
        <v>46.666666666666657</v>
      </c>
    </row>
    <row r="7" spans="1:1" x14ac:dyDescent="0.35">
      <c r="A7">
        <v>50</v>
      </c>
    </row>
    <row r="8" spans="1:1" x14ac:dyDescent="0.35">
      <c r="A8">
        <v>63.333333333333343</v>
      </c>
    </row>
    <row r="9" spans="1:1" x14ac:dyDescent="0.35">
      <c r="A9">
        <v>56.666666666666657</v>
      </c>
    </row>
    <row r="10" spans="1:1" x14ac:dyDescent="0.35">
      <c r="A10">
        <v>56.666666666666657</v>
      </c>
    </row>
    <row r="11" spans="1:1" x14ac:dyDescent="0.35">
      <c r="A11">
        <v>66.666666666666671</v>
      </c>
    </row>
    <row r="13" spans="1:1" x14ac:dyDescent="0.35">
      <c r="A13">
        <f>AVERAGE(A2:A11)</f>
        <v>57.666666666666664</v>
      </c>
    </row>
    <row r="14" spans="1:1" x14ac:dyDescent="0.35">
      <c r="A14">
        <f>_xlfn.STDEV.S(A2:A11)</f>
        <v>7.0360623106611904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86.666666666666671</v>
      </c>
    </row>
    <row r="3" spans="1:1" x14ac:dyDescent="0.35">
      <c r="A3">
        <v>93.333333333333329</v>
      </c>
    </row>
    <row r="4" spans="1:1" x14ac:dyDescent="0.35">
      <c r="A4">
        <v>86.666666666666671</v>
      </c>
    </row>
    <row r="5" spans="1:1" x14ac:dyDescent="0.35">
      <c r="A5">
        <v>100</v>
      </c>
    </row>
    <row r="6" spans="1:1" x14ac:dyDescent="0.35">
      <c r="A6">
        <v>100</v>
      </c>
    </row>
    <row r="7" spans="1:1" x14ac:dyDescent="0.35">
      <c r="A7">
        <v>96.666666666666671</v>
      </c>
    </row>
    <row r="8" spans="1:1" x14ac:dyDescent="0.35">
      <c r="A8">
        <v>100</v>
      </c>
    </row>
    <row r="9" spans="1:1" x14ac:dyDescent="0.35">
      <c r="A9">
        <v>100</v>
      </c>
    </row>
    <row r="10" spans="1:1" x14ac:dyDescent="0.35">
      <c r="A10">
        <v>100</v>
      </c>
    </row>
    <row r="11" spans="1:1" x14ac:dyDescent="0.35">
      <c r="A11">
        <v>86.666666666666671</v>
      </c>
    </row>
    <row r="13" spans="1:1" x14ac:dyDescent="0.35">
      <c r="A13">
        <f>AVERAGE(A2:A11)</f>
        <v>95</v>
      </c>
    </row>
    <row r="14" spans="1:1" x14ac:dyDescent="0.35">
      <c r="A14">
        <f>_xlfn.STDEV.S(A2:A11)</f>
        <v>6.1363116762151435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26.666666666666671</v>
      </c>
    </row>
    <row r="3" spans="1:1" x14ac:dyDescent="0.35">
      <c r="A3">
        <v>66.666666666666671</v>
      </c>
    </row>
    <row r="4" spans="1:1" x14ac:dyDescent="0.35">
      <c r="A4">
        <v>66.666666666666671</v>
      </c>
    </row>
    <row r="5" spans="1:1" x14ac:dyDescent="0.35">
      <c r="A5">
        <v>73.333333333333329</v>
      </c>
    </row>
    <row r="6" spans="1:1" x14ac:dyDescent="0.35">
      <c r="A6">
        <v>76.666666666666671</v>
      </c>
    </row>
    <row r="7" spans="1:1" x14ac:dyDescent="0.35">
      <c r="A7">
        <v>76.666666666666671</v>
      </c>
    </row>
    <row r="8" spans="1:1" x14ac:dyDescent="0.35">
      <c r="A8">
        <v>66.666666666666671</v>
      </c>
    </row>
    <row r="9" spans="1:1" x14ac:dyDescent="0.35">
      <c r="A9">
        <v>83.333333333333329</v>
      </c>
    </row>
    <row r="10" spans="1:1" x14ac:dyDescent="0.35">
      <c r="A10">
        <v>83.333333333333329</v>
      </c>
    </row>
    <row r="11" spans="1:1" x14ac:dyDescent="0.35">
      <c r="A11">
        <v>80</v>
      </c>
    </row>
    <row r="13" spans="1:1" x14ac:dyDescent="0.35">
      <c r="A13">
        <f>AVERAGE(A2:A11)</f>
        <v>70.000000000000014</v>
      </c>
    </row>
    <row r="14" spans="1:1" x14ac:dyDescent="0.35">
      <c r="A14">
        <f>_xlfn.STDEV.S(A2:A11)</f>
        <v>16.555182695279235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66.666666666666671</v>
      </c>
    </row>
    <row r="3" spans="1:1" x14ac:dyDescent="0.35">
      <c r="A3">
        <v>73.333333333333329</v>
      </c>
    </row>
    <row r="4" spans="1:1" x14ac:dyDescent="0.35">
      <c r="A4">
        <v>56.666666666666657</v>
      </c>
    </row>
    <row r="5" spans="1:1" x14ac:dyDescent="0.35">
      <c r="A5">
        <v>70</v>
      </c>
    </row>
    <row r="6" spans="1:1" x14ac:dyDescent="0.35">
      <c r="A6">
        <v>70</v>
      </c>
    </row>
    <row r="7" spans="1:1" x14ac:dyDescent="0.35">
      <c r="A7">
        <v>73.333333333333329</v>
      </c>
    </row>
    <row r="8" spans="1:1" x14ac:dyDescent="0.35">
      <c r="A8">
        <v>80</v>
      </c>
    </row>
    <row r="9" spans="1:1" x14ac:dyDescent="0.35">
      <c r="A9">
        <v>76.666666666666671</v>
      </c>
    </row>
    <row r="10" spans="1:1" x14ac:dyDescent="0.35">
      <c r="A10">
        <v>80</v>
      </c>
    </row>
    <row r="11" spans="1:1" x14ac:dyDescent="0.35">
      <c r="A11">
        <v>60</v>
      </c>
    </row>
    <row r="13" spans="1:1" x14ac:dyDescent="0.35">
      <c r="A13">
        <f>AVERAGE(A2:A11)</f>
        <v>70.666666666666657</v>
      </c>
    </row>
    <row r="14" spans="1:1" x14ac:dyDescent="0.35">
      <c r="A14">
        <f>_xlfn.STDEV.S(A2:A11)</f>
        <v>7.8252519385151551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43.333333333333343</v>
      </c>
    </row>
    <row r="3" spans="1:1" x14ac:dyDescent="0.35">
      <c r="A3">
        <v>66.666666666666671</v>
      </c>
    </row>
    <row r="4" spans="1:1" x14ac:dyDescent="0.35">
      <c r="A4">
        <v>43.333333333333343</v>
      </c>
    </row>
    <row r="5" spans="1:1" x14ac:dyDescent="0.35">
      <c r="A5">
        <v>63.333333333333343</v>
      </c>
    </row>
    <row r="6" spans="1:1" x14ac:dyDescent="0.35">
      <c r="A6">
        <v>60</v>
      </c>
    </row>
    <row r="7" spans="1:1" x14ac:dyDescent="0.35">
      <c r="A7">
        <v>66.666666666666671</v>
      </c>
    </row>
    <row r="8" spans="1:1" x14ac:dyDescent="0.35">
      <c r="A8">
        <v>56.666666666666657</v>
      </c>
    </row>
    <row r="9" spans="1:1" x14ac:dyDescent="0.35">
      <c r="A9">
        <v>60</v>
      </c>
    </row>
    <row r="10" spans="1:1" x14ac:dyDescent="0.35">
      <c r="A10">
        <v>63.333333333333343</v>
      </c>
    </row>
    <row r="11" spans="1:1" x14ac:dyDescent="0.35">
      <c r="A11">
        <v>60</v>
      </c>
    </row>
    <row r="13" spans="1:1" x14ac:dyDescent="0.35">
      <c r="A13">
        <f>AVERAGE(A2:A11)</f>
        <v>58.33333333333335</v>
      </c>
    </row>
    <row r="14" spans="1:1" x14ac:dyDescent="0.35">
      <c r="A14">
        <f>_xlfn.STDEV.S(A2:A11)</f>
        <v>8.4983658559878794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83.333333333333329</v>
      </c>
    </row>
    <row r="3" spans="1:1" x14ac:dyDescent="0.35">
      <c r="A3">
        <v>80</v>
      </c>
    </row>
    <row r="4" spans="1:1" x14ac:dyDescent="0.35">
      <c r="A4">
        <v>83.333333333333329</v>
      </c>
    </row>
    <row r="5" spans="1:1" x14ac:dyDescent="0.35">
      <c r="A5">
        <v>80</v>
      </c>
    </row>
    <row r="6" spans="1:1" x14ac:dyDescent="0.35">
      <c r="A6">
        <v>83.333333333333329</v>
      </c>
    </row>
    <row r="7" spans="1:1" x14ac:dyDescent="0.35">
      <c r="A7">
        <v>83.333333333333329</v>
      </c>
    </row>
    <row r="8" spans="1:1" x14ac:dyDescent="0.35">
      <c r="A8">
        <v>83.333333333333329</v>
      </c>
    </row>
    <row r="9" spans="1:1" x14ac:dyDescent="0.35">
      <c r="A9">
        <v>83.333333333333329</v>
      </c>
    </row>
    <row r="10" spans="1:1" x14ac:dyDescent="0.35">
      <c r="A10">
        <v>83.333333333333329</v>
      </c>
    </row>
    <row r="11" spans="1:1" x14ac:dyDescent="0.35">
      <c r="A11">
        <v>83.333333333333329</v>
      </c>
    </row>
    <row r="13" spans="1:1" x14ac:dyDescent="0.35">
      <c r="A13">
        <f>AVERAGE(A2:A11)</f>
        <v>82.666666666666671</v>
      </c>
    </row>
    <row r="14" spans="1:1" x14ac:dyDescent="0.35">
      <c r="A14">
        <f>_xlfn.STDEV.S(A2:A11)</f>
        <v>1.405456737852611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66.666666666666671</v>
      </c>
    </row>
    <row r="3" spans="1:1" x14ac:dyDescent="0.35">
      <c r="A3">
        <v>70</v>
      </c>
    </row>
    <row r="4" spans="1:1" x14ac:dyDescent="0.35">
      <c r="A4">
        <v>70</v>
      </c>
    </row>
    <row r="5" spans="1:1" x14ac:dyDescent="0.35">
      <c r="A5">
        <v>70</v>
      </c>
    </row>
    <row r="6" spans="1:1" x14ac:dyDescent="0.35">
      <c r="A6">
        <v>66.666666666666671</v>
      </c>
    </row>
    <row r="7" spans="1:1" x14ac:dyDescent="0.35">
      <c r="A7">
        <v>66.666666666666671</v>
      </c>
    </row>
    <row r="8" spans="1:1" x14ac:dyDescent="0.35">
      <c r="A8">
        <v>66.666666666666671</v>
      </c>
    </row>
    <row r="9" spans="1:1" x14ac:dyDescent="0.35">
      <c r="A9">
        <v>66.666666666666671</v>
      </c>
    </row>
    <row r="10" spans="1:1" x14ac:dyDescent="0.35">
      <c r="A10">
        <v>70</v>
      </c>
    </row>
    <row r="11" spans="1:1" x14ac:dyDescent="0.35">
      <c r="A11">
        <v>70</v>
      </c>
    </row>
    <row r="13" spans="1:1" x14ac:dyDescent="0.35">
      <c r="A13">
        <f>AVERAGE(A2:A11)</f>
        <v>68.333333333333343</v>
      </c>
    </row>
    <row r="14" spans="1:1" x14ac:dyDescent="0.35">
      <c r="A14">
        <f>_xlfn.STDEV.S(A2:A11)</f>
        <v>1.7568209223157638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14"/>
  <sheetViews>
    <sheetView workbookViewId="0">
      <selection activeCell="A13" sqref="A13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50</v>
      </c>
    </row>
    <row r="3" spans="1:1" x14ac:dyDescent="0.35">
      <c r="A3">
        <v>60</v>
      </c>
    </row>
    <row r="4" spans="1:1" x14ac:dyDescent="0.35">
      <c r="A4">
        <v>53.333333333333343</v>
      </c>
    </row>
    <row r="5" spans="1:1" x14ac:dyDescent="0.35">
      <c r="A5">
        <v>60</v>
      </c>
    </row>
    <row r="6" spans="1:1" x14ac:dyDescent="0.35">
      <c r="A6">
        <v>60</v>
      </c>
    </row>
    <row r="7" spans="1:1" x14ac:dyDescent="0.35">
      <c r="A7">
        <v>56.666666666666657</v>
      </c>
    </row>
    <row r="8" spans="1:1" x14ac:dyDescent="0.35">
      <c r="A8">
        <v>53.333333333333343</v>
      </c>
    </row>
    <row r="9" spans="1:1" x14ac:dyDescent="0.35">
      <c r="A9">
        <v>56.666666666666657</v>
      </c>
    </row>
    <row r="10" spans="1:1" x14ac:dyDescent="0.35">
      <c r="A10">
        <v>60</v>
      </c>
    </row>
    <row r="11" spans="1:1" x14ac:dyDescent="0.35">
      <c r="A11">
        <v>63.333333333333343</v>
      </c>
    </row>
    <row r="13" spans="1:1" x14ac:dyDescent="0.35">
      <c r="A13">
        <f>AVERAGE(A2:A11)</f>
        <v>57.333333333333336</v>
      </c>
    </row>
    <row r="14" spans="1:1" x14ac:dyDescent="0.35">
      <c r="A14">
        <f>_xlfn.STDEV.S(A2:A11)</f>
        <v>4.0975753143523939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15"/>
  <sheetViews>
    <sheetView workbookViewId="0">
      <selection activeCell="A16" sqref="A16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53.333333333333343</v>
      </c>
    </row>
    <row r="3" spans="1:1" x14ac:dyDescent="0.35">
      <c r="A3">
        <v>60</v>
      </c>
    </row>
    <row r="4" spans="1:1" x14ac:dyDescent="0.35">
      <c r="A4">
        <v>56.666666666666657</v>
      </c>
    </row>
    <row r="5" spans="1:1" x14ac:dyDescent="0.35">
      <c r="A5">
        <v>50</v>
      </c>
    </row>
    <row r="6" spans="1:1" x14ac:dyDescent="0.35">
      <c r="A6">
        <v>60</v>
      </c>
    </row>
    <row r="7" spans="1:1" x14ac:dyDescent="0.35">
      <c r="A7">
        <v>56.666666666666657</v>
      </c>
    </row>
    <row r="8" spans="1:1" x14ac:dyDescent="0.35">
      <c r="A8">
        <v>60</v>
      </c>
    </row>
    <row r="9" spans="1:1" x14ac:dyDescent="0.35">
      <c r="A9">
        <v>63.333333333333343</v>
      </c>
    </row>
    <row r="10" spans="1:1" x14ac:dyDescent="0.35">
      <c r="A10">
        <v>60</v>
      </c>
    </row>
    <row r="11" spans="1:1" x14ac:dyDescent="0.35">
      <c r="A11">
        <v>56.666666666666657</v>
      </c>
    </row>
    <row r="12" spans="1:1" x14ac:dyDescent="0.35">
      <c r="A12">
        <v>63.333333333333343</v>
      </c>
    </row>
    <row r="14" spans="1:1" x14ac:dyDescent="0.35">
      <c r="A14">
        <f>AVERAGE(A2:A12)</f>
        <v>58.18181818181818</v>
      </c>
    </row>
    <row r="15" spans="1:1" x14ac:dyDescent="0.35">
      <c r="A15">
        <f>_xlfn.STDEV.S(A2:A12)</f>
        <v>4.0451991747794542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1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90</v>
      </c>
    </row>
    <row r="3" spans="1:1" x14ac:dyDescent="0.35">
      <c r="A3">
        <v>83.333333333333329</v>
      </c>
    </row>
    <row r="4" spans="1:1" x14ac:dyDescent="0.35">
      <c r="A4">
        <v>86.666666666666671</v>
      </c>
    </row>
    <row r="5" spans="1:1" x14ac:dyDescent="0.35">
      <c r="A5">
        <v>83.333333333333329</v>
      </c>
    </row>
    <row r="6" spans="1:1" x14ac:dyDescent="0.35">
      <c r="A6">
        <v>83.333333333333329</v>
      </c>
    </row>
    <row r="7" spans="1:1" x14ac:dyDescent="0.35">
      <c r="A7">
        <v>83.333333333333329</v>
      </c>
    </row>
    <row r="8" spans="1:1" x14ac:dyDescent="0.35">
      <c r="A8">
        <v>86.666666666666671</v>
      </c>
    </row>
    <row r="9" spans="1:1" x14ac:dyDescent="0.35">
      <c r="A9">
        <v>80</v>
      </c>
    </row>
    <row r="10" spans="1:1" x14ac:dyDescent="0.35">
      <c r="A10">
        <v>83.333333333333329</v>
      </c>
    </row>
    <row r="11" spans="1:1" x14ac:dyDescent="0.35">
      <c r="A11">
        <v>83.333333333333329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12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63.333333333333343</v>
      </c>
    </row>
    <row r="3" spans="1:1" x14ac:dyDescent="0.35">
      <c r="A3">
        <v>70</v>
      </c>
    </row>
    <row r="4" spans="1:1" x14ac:dyDescent="0.35">
      <c r="A4">
        <v>70</v>
      </c>
    </row>
    <row r="5" spans="1:1" x14ac:dyDescent="0.35">
      <c r="A5">
        <v>70</v>
      </c>
    </row>
    <row r="6" spans="1:1" x14ac:dyDescent="0.35">
      <c r="A6">
        <v>70</v>
      </c>
    </row>
    <row r="7" spans="1:1" x14ac:dyDescent="0.35">
      <c r="A7">
        <v>70</v>
      </c>
    </row>
    <row r="8" spans="1:1" x14ac:dyDescent="0.35">
      <c r="A8">
        <v>73.333333333333329</v>
      </c>
    </row>
    <row r="9" spans="1:1" x14ac:dyDescent="0.35">
      <c r="A9">
        <v>70</v>
      </c>
    </row>
    <row r="10" spans="1:1" x14ac:dyDescent="0.35">
      <c r="A10">
        <v>70</v>
      </c>
    </row>
    <row r="11" spans="1:1" x14ac:dyDescent="0.35">
      <c r="A11">
        <v>70</v>
      </c>
    </row>
    <row r="12" spans="1:1" x14ac:dyDescent="0.35">
      <c r="A12">
        <v>70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1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50</v>
      </c>
    </row>
    <row r="3" spans="1:1" x14ac:dyDescent="0.35">
      <c r="A3">
        <v>56.666666666666657</v>
      </c>
    </row>
    <row r="4" spans="1:1" x14ac:dyDescent="0.35">
      <c r="A4">
        <v>56.666666666666657</v>
      </c>
    </row>
    <row r="5" spans="1:1" x14ac:dyDescent="0.35">
      <c r="A5">
        <v>63.333333333333343</v>
      </c>
    </row>
    <row r="6" spans="1:1" x14ac:dyDescent="0.35">
      <c r="A6">
        <v>60</v>
      </c>
    </row>
    <row r="7" spans="1:1" x14ac:dyDescent="0.35">
      <c r="A7">
        <v>56.666666666666657</v>
      </c>
    </row>
    <row r="8" spans="1:1" x14ac:dyDescent="0.35">
      <c r="A8">
        <v>60</v>
      </c>
    </row>
    <row r="9" spans="1:1" x14ac:dyDescent="0.35">
      <c r="A9">
        <v>66.666666666666671</v>
      </c>
    </row>
    <row r="10" spans="1:1" x14ac:dyDescent="0.35">
      <c r="A10">
        <v>56.666666666666657</v>
      </c>
    </row>
    <row r="11" spans="1:1" x14ac:dyDescent="0.35">
      <c r="A11">
        <v>56.666666666666657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1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53.333333333333343</v>
      </c>
    </row>
    <row r="3" spans="1:1" x14ac:dyDescent="0.35">
      <c r="A3">
        <v>63.333333333333343</v>
      </c>
    </row>
    <row r="4" spans="1:1" x14ac:dyDescent="0.35">
      <c r="A4">
        <v>60</v>
      </c>
    </row>
    <row r="5" spans="1:1" x14ac:dyDescent="0.35">
      <c r="A5">
        <v>56.666666666666657</v>
      </c>
    </row>
    <row r="6" spans="1:1" x14ac:dyDescent="0.35">
      <c r="A6">
        <v>56.666666666666657</v>
      </c>
    </row>
    <row r="7" spans="1:1" x14ac:dyDescent="0.35">
      <c r="A7">
        <v>56.666666666666657</v>
      </c>
    </row>
    <row r="8" spans="1:1" x14ac:dyDescent="0.35">
      <c r="A8">
        <v>66.666666666666671</v>
      </c>
    </row>
    <row r="9" spans="1:1" x14ac:dyDescent="0.35">
      <c r="A9">
        <v>56.666666666666657</v>
      </c>
    </row>
    <row r="10" spans="1:1" x14ac:dyDescent="0.35">
      <c r="A10">
        <v>60</v>
      </c>
    </row>
    <row r="11" spans="1:1" x14ac:dyDescent="0.35">
      <c r="A11">
        <v>56.666666666666657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93.333333333333329</v>
      </c>
    </row>
    <row r="3" spans="1:1" x14ac:dyDescent="0.35">
      <c r="A3">
        <v>96.666666666666671</v>
      </c>
    </row>
    <row r="4" spans="1:1" x14ac:dyDescent="0.35">
      <c r="A4">
        <v>100</v>
      </c>
    </row>
    <row r="5" spans="1:1" x14ac:dyDescent="0.35">
      <c r="A5">
        <v>83.333333333333329</v>
      </c>
    </row>
    <row r="6" spans="1:1" x14ac:dyDescent="0.35">
      <c r="A6">
        <v>100</v>
      </c>
    </row>
    <row r="7" spans="1:1" x14ac:dyDescent="0.35">
      <c r="A7">
        <v>100</v>
      </c>
    </row>
    <row r="8" spans="1:1" x14ac:dyDescent="0.35">
      <c r="A8">
        <v>96.666666666666671</v>
      </c>
    </row>
    <row r="9" spans="1:1" x14ac:dyDescent="0.35">
      <c r="A9">
        <v>50</v>
      </c>
    </row>
    <row r="10" spans="1:1" x14ac:dyDescent="0.35">
      <c r="A10">
        <v>100</v>
      </c>
    </row>
    <row r="11" spans="1:1" x14ac:dyDescent="0.35">
      <c r="A11">
        <v>83.333333333333329</v>
      </c>
    </row>
    <row r="13" spans="1:1" x14ac:dyDescent="0.35">
      <c r="A13">
        <f>AVERAGE(A2:A11)</f>
        <v>90.333333333333329</v>
      </c>
    </row>
    <row r="14" spans="1:1" x14ac:dyDescent="0.35">
      <c r="A14">
        <f>_xlfn.STDEV.S(A2:A11)</f>
        <v>15.591228936587608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73.333333333333329</v>
      </c>
    </row>
    <row r="3" spans="1:1" x14ac:dyDescent="0.35">
      <c r="A3">
        <v>73.333333333333329</v>
      </c>
    </row>
    <row r="4" spans="1:1" x14ac:dyDescent="0.35">
      <c r="A4">
        <v>83.333333333333329</v>
      </c>
    </row>
    <row r="5" spans="1:1" x14ac:dyDescent="0.35">
      <c r="A5">
        <v>46.666666666666657</v>
      </c>
    </row>
    <row r="6" spans="1:1" x14ac:dyDescent="0.35">
      <c r="A6">
        <v>76.666666666666671</v>
      </c>
    </row>
    <row r="7" spans="1:1" x14ac:dyDescent="0.35">
      <c r="A7">
        <v>76.666666666666671</v>
      </c>
    </row>
    <row r="8" spans="1:1" x14ac:dyDescent="0.35">
      <c r="A8">
        <v>70</v>
      </c>
    </row>
    <row r="9" spans="1:1" x14ac:dyDescent="0.35">
      <c r="A9">
        <v>70</v>
      </c>
    </row>
    <row r="10" spans="1:1" x14ac:dyDescent="0.35">
      <c r="A10">
        <v>86.666666666666671</v>
      </c>
    </row>
    <row r="11" spans="1:1" x14ac:dyDescent="0.35">
      <c r="A11">
        <v>73.333333333333329</v>
      </c>
    </row>
    <row r="13" spans="1:1" x14ac:dyDescent="0.35">
      <c r="A13">
        <f>AVERAGE(A2:A11)</f>
        <v>73</v>
      </c>
    </row>
    <row r="14" spans="1:1" x14ac:dyDescent="0.35">
      <c r="A14">
        <f>_xlfn.STDEV.S(A2:A11)</f>
        <v>10.709405120019085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56.666666666666657</v>
      </c>
    </row>
    <row r="3" spans="1:1" x14ac:dyDescent="0.35">
      <c r="A3">
        <v>76.666666666666671</v>
      </c>
    </row>
    <row r="4" spans="1:1" x14ac:dyDescent="0.35">
      <c r="A4">
        <v>80</v>
      </c>
    </row>
    <row r="5" spans="1:1" x14ac:dyDescent="0.35">
      <c r="A5">
        <v>73.333333333333329</v>
      </c>
    </row>
    <row r="6" spans="1:1" x14ac:dyDescent="0.35">
      <c r="A6">
        <v>53.333333333333343</v>
      </c>
    </row>
    <row r="7" spans="1:1" x14ac:dyDescent="0.35">
      <c r="A7">
        <v>50</v>
      </c>
    </row>
    <row r="8" spans="1:1" x14ac:dyDescent="0.35">
      <c r="A8">
        <v>66.666666666666671</v>
      </c>
    </row>
    <row r="9" spans="1:1" x14ac:dyDescent="0.35">
      <c r="A9">
        <v>66.666666666666671</v>
      </c>
    </row>
    <row r="10" spans="1:1" x14ac:dyDescent="0.35">
      <c r="A10">
        <v>73.333333333333329</v>
      </c>
    </row>
    <row r="11" spans="1:1" x14ac:dyDescent="0.35">
      <c r="A11">
        <v>60</v>
      </c>
    </row>
    <row r="13" spans="1:1" x14ac:dyDescent="0.35">
      <c r="A13">
        <f>AVERAGE(A2:A11)</f>
        <v>65.666666666666671</v>
      </c>
    </row>
    <row r="14" spans="1:1" x14ac:dyDescent="0.35">
      <c r="A14">
        <f>_xlfn.STDEV.S(A2:A11)</f>
        <v>10.310009519699582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56.666666666666657</v>
      </c>
    </row>
    <row r="3" spans="1:1" x14ac:dyDescent="0.35">
      <c r="A3">
        <v>63.333333333333343</v>
      </c>
    </row>
    <row r="4" spans="1:1" x14ac:dyDescent="0.35">
      <c r="A4">
        <v>56.666666666666657</v>
      </c>
    </row>
    <row r="5" spans="1:1" x14ac:dyDescent="0.35">
      <c r="A5">
        <v>63.333333333333343</v>
      </c>
    </row>
    <row r="6" spans="1:1" x14ac:dyDescent="0.35">
      <c r="A6">
        <v>53.333333333333343</v>
      </c>
    </row>
    <row r="7" spans="1:1" x14ac:dyDescent="0.35">
      <c r="A7">
        <v>40</v>
      </c>
    </row>
    <row r="8" spans="1:1" x14ac:dyDescent="0.35">
      <c r="A8">
        <v>56.666666666666657</v>
      </c>
    </row>
    <row r="9" spans="1:1" x14ac:dyDescent="0.35">
      <c r="A9">
        <v>50</v>
      </c>
    </row>
    <row r="10" spans="1:1" x14ac:dyDescent="0.35">
      <c r="A10">
        <v>66.666666666666671</v>
      </c>
    </row>
    <row r="11" spans="1:1" x14ac:dyDescent="0.35">
      <c r="A11">
        <v>56.666666666666657</v>
      </c>
    </row>
    <row r="13" spans="1:1" x14ac:dyDescent="0.35">
      <c r="A13">
        <f>AVERAGE(A2:A11)</f>
        <v>56.333333333333336</v>
      </c>
    </row>
    <row r="14" spans="1:1" x14ac:dyDescent="0.35">
      <c r="A14">
        <f>_xlfn.STDEV.S(A2:A11)</f>
        <v>7.6092860747839319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100</v>
      </c>
    </row>
    <row r="3" spans="1:1" x14ac:dyDescent="0.35">
      <c r="A3">
        <v>100</v>
      </c>
    </row>
    <row r="4" spans="1:1" x14ac:dyDescent="0.35">
      <c r="A4">
        <v>96.666666666666671</v>
      </c>
    </row>
    <row r="5" spans="1:1" x14ac:dyDescent="0.35">
      <c r="A5">
        <v>96.666666666666671</v>
      </c>
    </row>
    <row r="6" spans="1:1" x14ac:dyDescent="0.35">
      <c r="A6">
        <v>93.333333333333329</v>
      </c>
    </row>
    <row r="7" spans="1:1" x14ac:dyDescent="0.35">
      <c r="A7">
        <v>96.666666666666671</v>
      </c>
    </row>
    <row r="8" spans="1:1" x14ac:dyDescent="0.35">
      <c r="A8">
        <v>100</v>
      </c>
    </row>
    <row r="9" spans="1:1" x14ac:dyDescent="0.35">
      <c r="A9">
        <v>73.333333333333329</v>
      </c>
    </row>
    <row r="10" spans="1:1" x14ac:dyDescent="0.35">
      <c r="A10">
        <v>100</v>
      </c>
    </row>
    <row r="11" spans="1:1" x14ac:dyDescent="0.35">
      <c r="A11">
        <v>90</v>
      </c>
    </row>
    <row r="13" spans="1:1" x14ac:dyDescent="0.35">
      <c r="A13">
        <f>AVERAGE(A2:A11)</f>
        <v>94.666666666666671</v>
      </c>
    </row>
    <row r="14" spans="1:1" x14ac:dyDescent="0.35">
      <c r="A14">
        <f>_xlfn.STDEV.S(A2:A11)</f>
        <v>8.1951506287047913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66.666666666666671</v>
      </c>
    </row>
    <row r="3" spans="1:1" x14ac:dyDescent="0.35">
      <c r="A3">
        <v>63.333333333333343</v>
      </c>
    </row>
    <row r="4" spans="1:1" x14ac:dyDescent="0.35">
      <c r="A4">
        <v>90</v>
      </c>
    </row>
    <row r="5" spans="1:1" x14ac:dyDescent="0.35">
      <c r="A5">
        <v>70</v>
      </c>
    </row>
    <row r="6" spans="1:1" x14ac:dyDescent="0.35">
      <c r="A6">
        <v>70</v>
      </c>
    </row>
    <row r="7" spans="1:1" x14ac:dyDescent="0.35">
      <c r="A7">
        <v>60</v>
      </c>
    </row>
    <row r="8" spans="1:1" x14ac:dyDescent="0.35">
      <c r="A8">
        <v>76.666666666666671</v>
      </c>
    </row>
    <row r="9" spans="1:1" x14ac:dyDescent="0.35">
      <c r="A9">
        <v>80</v>
      </c>
    </row>
    <row r="10" spans="1:1" x14ac:dyDescent="0.35">
      <c r="A10">
        <v>83.333333333333329</v>
      </c>
    </row>
    <row r="11" spans="1:1" x14ac:dyDescent="0.35">
      <c r="A11">
        <v>70</v>
      </c>
    </row>
    <row r="13" spans="1:1" x14ac:dyDescent="0.35">
      <c r="A13">
        <f>AVERAGE(A2:A11)</f>
        <v>73.000000000000014</v>
      </c>
    </row>
    <row r="14" spans="1:1" x14ac:dyDescent="0.35">
      <c r="A14">
        <f>_xlfn.STDEV.S(A2:A11)</f>
        <v>9.3557930822314361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80</v>
      </c>
    </row>
    <row r="3" spans="1:1" x14ac:dyDescent="0.35">
      <c r="A3">
        <v>60</v>
      </c>
    </row>
    <row r="4" spans="1:1" x14ac:dyDescent="0.35">
      <c r="A4">
        <v>60</v>
      </c>
    </row>
    <row r="5" spans="1:1" x14ac:dyDescent="0.35">
      <c r="A5">
        <v>66.666666666666671</v>
      </c>
    </row>
    <row r="6" spans="1:1" x14ac:dyDescent="0.35">
      <c r="A6">
        <v>56.666666666666657</v>
      </c>
    </row>
    <row r="7" spans="1:1" x14ac:dyDescent="0.35">
      <c r="A7">
        <v>53.333333333333343</v>
      </c>
    </row>
    <row r="8" spans="1:1" x14ac:dyDescent="0.35">
      <c r="A8">
        <v>66.666666666666671</v>
      </c>
    </row>
    <row r="9" spans="1:1" x14ac:dyDescent="0.35">
      <c r="A9">
        <v>66.666666666666671</v>
      </c>
    </row>
    <row r="10" spans="1:1" x14ac:dyDescent="0.35">
      <c r="A10">
        <v>66.666666666666671</v>
      </c>
    </row>
    <row r="11" spans="1:1" x14ac:dyDescent="0.35">
      <c r="A11">
        <v>56.666666666666657</v>
      </c>
    </row>
    <row r="13" spans="1:1" x14ac:dyDescent="0.35">
      <c r="A13">
        <f>AVERAGE(A2:A11)</f>
        <v>63.333333333333336</v>
      </c>
    </row>
    <row r="14" spans="1:1" x14ac:dyDescent="0.35">
      <c r="A14">
        <f>_xlfn.STDEV.S(A2:A11)</f>
        <v>7.6980035891949754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14"/>
  <sheetViews>
    <sheetView tabSelected="1"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56.666666666666657</v>
      </c>
    </row>
    <row r="3" spans="1:1" x14ac:dyDescent="0.35">
      <c r="A3">
        <v>53.333333333333343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66.666666666666671</v>
      </c>
    </row>
    <row r="7" spans="1:1" x14ac:dyDescent="0.35">
      <c r="A7">
        <v>46.666666666666657</v>
      </c>
    </row>
    <row r="8" spans="1:1" x14ac:dyDescent="0.35">
      <c r="A8">
        <v>56.666666666666657</v>
      </c>
    </row>
    <row r="9" spans="1:1" x14ac:dyDescent="0.35">
      <c r="A9">
        <v>66.666666666666671</v>
      </c>
    </row>
    <row r="10" spans="1:1" x14ac:dyDescent="0.35">
      <c r="A10">
        <v>60</v>
      </c>
    </row>
    <row r="11" spans="1:1" x14ac:dyDescent="0.35">
      <c r="A11">
        <v>60</v>
      </c>
    </row>
    <row r="13" spans="1:1" x14ac:dyDescent="0.35">
      <c r="A13">
        <f>AVERAGE(A2:A11)</f>
        <v>46.666666666666671</v>
      </c>
    </row>
    <row r="14" spans="1:1" x14ac:dyDescent="0.35">
      <c r="A14">
        <f>_xlfn.STDEV.S(A2:A11)</f>
        <v>25.288459281646759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48</vt:i4>
      </vt:variant>
    </vt:vector>
  </HeadingPairs>
  <TitlesOfParts>
    <vt:vector size="48" baseType="lpstr">
      <vt:lpstr>parallel_IIT_PH_30</vt:lpstr>
      <vt:lpstr>parallel_IIT_PH_45</vt:lpstr>
      <vt:lpstr>parallel_IIT_PH_60</vt:lpstr>
      <vt:lpstr>parallel_IIT_PH_120</vt:lpstr>
      <vt:lpstr>parallel_NOIIT_PH_30</vt:lpstr>
      <vt:lpstr>parallel_NOIIT_PH_45</vt:lpstr>
      <vt:lpstr>parallel_NOIIT_PH_60</vt:lpstr>
      <vt:lpstr>parallel_NOIIT_PH_120</vt:lpstr>
      <vt:lpstr>tree_IIT_PH_30</vt:lpstr>
      <vt:lpstr>tree_IIT_PH_45</vt:lpstr>
      <vt:lpstr>tree_IIT_PH_60</vt:lpstr>
      <vt:lpstr>tree_IIT_PH_120</vt:lpstr>
      <vt:lpstr>tree_NOIIT_PH_30</vt:lpstr>
      <vt:lpstr>tree_NOIIT_PH_45</vt:lpstr>
      <vt:lpstr>tree_NOIIT_PH_60</vt:lpstr>
      <vt:lpstr>tree_NOIIT_PH_120</vt:lpstr>
      <vt:lpstr>tree_128_IIT_PH_30</vt:lpstr>
      <vt:lpstr>tree_128_IIT_PH_45</vt:lpstr>
      <vt:lpstr>tree_128_IIT_PH_60</vt:lpstr>
      <vt:lpstr>tree_128_IIT_PH_120</vt:lpstr>
      <vt:lpstr>tree_128_NOIIT_PH_30</vt:lpstr>
      <vt:lpstr>tree_128_NOIIT_PH_45</vt:lpstr>
      <vt:lpstr>tree_128_NOIIT_PH_60</vt:lpstr>
      <vt:lpstr>tree_128_NOIIT_PH_120</vt:lpstr>
      <vt:lpstr>tree_256_IIT_PH_30</vt:lpstr>
      <vt:lpstr>tree_256_IIT_PH_45</vt:lpstr>
      <vt:lpstr>tree_256_IIT_PH_60</vt:lpstr>
      <vt:lpstr>tree_256_IIT_PH_120</vt:lpstr>
      <vt:lpstr>tree_256_NOIIT_PH_30</vt:lpstr>
      <vt:lpstr>tree_256_NOIIT_PH_45</vt:lpstr>
      <vt:lpstr>tree_256_NOIIT_PH_60</vt:lpstr>
      <vt:lpstr>tree_256_NOIIT_PH_120</vt:lpstr>
      <vt:lpstr>tree_256_no_cycles_IIT_PH_30</vt:lpstr>
      <vt:lpstr>tree_256_no_cycles_IIT_PH_45</vt:lpstr>
      <vt:lpstr>tree_256_no_cycles_IIT_PH_60</vt:lpstr>
      <vt:lpstr>tree_256_no_cycles_IIT_PH_120</vt:lpstr>
      <vt:lpstr>tree_256_no_cycles_NOIIT_PH_30</vt:lpstr>
      <vt:lpstr>tree_256_no_cycles_NOIIT_PH_45</vt:lpstr>
      <vt:lpstr>tree_256_no_cycles_NOIIT_PH_60</vt:lpstr>
      <vt:lpstr>tree_256_no_cycles_NOIIT_PH_120</vt:lpstr>
      <vt:lpstr>tree_joint_IIT_PH_30</vt:lpstr>
      <vt:lpstr>tree_joint_IIT_PH_45</vt:lpstr>
      <vt:lpstr>tree_joint_IIT_PH_60</vt:lpstr>
      <vt:lpstr>tree_joint_IIT_PH_120</vt:lpstr>
      <vt:lpstr>tree_joint_NOIIT_PH_30</vt:lpstr>
      <vt:lpstr>tree_joint_NOIIT_PH_45</vt:lpstr>
      <vt:lpstr>tree_joint_NOIIT_PH_60</vt:lpstr>
      <vt:lpstr>tree_joint_NOIIT_PH_120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Esponera Gómez</cp:lastModifiedBy>
  <dcterms:created xsi:type="dcterms:W3CDTF">2025-02-14T17:38:00Z</dcterms:created>
  <dcterms:modified xsi:type="dcterms:W3CDTF">2025-02-14T18:02:40Z</dcterms:modified>
</cp:coreProperties>
</file>